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Module Catalog" sheetId="2" r:id="rId6"/>
    <sheet state="visible" name="Feature Backlog" sheetId="3" r:id="rId7"/>
    <sheet state="visible" name="Database Schema" sheetId="4" r:id="rId8"/>
    <sheet state="visible" name="API Integrations" sheetId="5" r:id="rId9"/>
    <sheet state="visible" name="Roadmap" sheetId="6" r:id="rId10"/>
    <sheet state="visible" name="Audit Checklist" sheetId="7" r:id="rId11"/>
    <sheet state="visible" name="Pricing Matrix" sheetId="8" r:id="rId12"/>
    <sheet state="visible" name="Cost Estimate" sheetId="9" r:id="rId13"/>
  </sheets>
  <definedNames>
    <definedName hidden="1" localSheetId="1" name="_xlnm._FilterDatabase">'Module Catalog'!$A$4:$G$80</definedName>
    <definedName hidden="1" localSheetId="2" name="_xlnm._FilterDatabase">'Feature Backlog'!$A$4:$F$66</definedName>
    <definedName hidden="1" localSheetId="3" name="_xlnm._FilterDatabase">'Database Schema'!$A$4:$E$151</definedName>
    <definedName hidden="1" localSheetId="4" name="_xlnm._FilterDatabase">'API Integrations'!$A$4:$F$27</definedName>
    <definedName hidden="1" localSheetId="6" name="_xlnm._FilterDatabase">'Audit Checklist'!$A$4:$G$66</definedName>
    <definedName hidden="1" localSheetId="7" name="_xlnm._FilterDatabase">'Pricing Matrix'!$A$4:$D$30</definedName>
  </definedNames>
  <calcPr/>
</workbook>
</file>

<file path=xl/sharedStrings.xml><?xml version="1.0" encoding="utf-8"?>
<sst xmlns="http://schemas.openxmlformats.org/spreadsheetml/2006/main" count="2251" uniqueCount="1027">
  <si>
    <t>GENRANQ — Build Plan Workbook</t>
  </si>
  <si>
    <t>Feature Backlog</t>
  </si>
  <si>
    <t>Database Schema (core tables)</t>
  </si>
  <si>
    <t>Epics → features. MoSCoW = Must/Should/Could. Points roll up per epic (SUMIF).</t>
  </si>
  <si>
    <t>PK = primary key (blue), FK = foreign key (teal). Time-series tables noted for ClickHouse.</t>
  </si>
  <si>
    <t>Module Catalog</t>
  </si>
  <si>
    <t>Developer source-of-truth: modules, backlog, database schema, integrations, roadmap, pricing &amp; cost estimate.</t>
  </si>
  <si>
    <t>Table</t>
  </si>
  <si>
    <t>ID</t>
  </si>
  <si>
    <t>40+ modules grouped by platform area. Priority P1 (must) → P3 (later). Complexity S/M/L/XL.</t>
  </si>
  <si>
    <t>#</t>
  </si>
  <si>
    <t>Column</t>
  </si>
  <si>
    <t>Type</t>
  </si>
  <si>
    <t>Area</t>
  </si>
  <si>
    <t>Key</t>
  </si>
  <si>
    <t>Module</t>
  </si>
  <si>
    <t>Notes</t>
  </si>
  <si>
    <t>Description</t>
  </si>
  <si>
    <t>Sheet</t>
  </si>
  <si>
    <t>Priority</t>
  </si>
  <si>
    <t>organisation</t>
  </si>
  <si>
    <t>Epic</t>
  </si>
  <si>
    <t>Complexity</t>
  </si>
  <si>
    <t>What it contains / how to use</t>
  </si>
  <si>
    <t>Feature</t>
  </si>
  <si>
    <t>Phase</t>
  </si>
  <si>
    <t>MoSCoW</t>
  </si>
  <si>
    <t>Points</t>
  </si>
  <si>
    <t>id</t>
  </si>
  <si>
    <t>Acceptance / notes</t>
  </si>
  <si>
    <t>F-001</t>
  </si>
  <si>
    <t>All 40+ modules with area, priority, complexity, phase and owner. Filter by phase to scope a release.</t>
  </si>
  <si>
    <t>uuid</t>
  </si>
  <si>
    <t>PK</t>
  </si>
  <si>
    <t>Platform</t>
  </si>
  <si>
    <t>Multi-tenant org + RBAC roles</t>
  </si>
  <si>
    <t>Must</t>
  </si>
  <si>
    <t>Tenant root</t>
  </si>
  <si>
    <t>Epics → features with MoSCoW priority and story points. Points roll up per epic (live formula).</t>
  </si>
  <si>
    <t>Database Schema</t>
  </si>
  <si>
    <t>Owner/Admin/Manager/Staff/Client; RLS isolation</t>
  </si>
  <si>
    <t>Core tables, key columns, types and notes. Blue = primary key, teal = foreign key.</t>
  </si>
  <si>
    <t>API Integrations</t>
  </si>
  <si>
    <t>F-002</t>
  </si>
  <si>
    <t>Every external provider (incl. Claude/OpenAI/Perplexity/Gemini, PSI, Stripe): purpose, auth, quota, phase.</t>
  </si>
  <si>
    <t>Roadmap</t>
  </si>
  <si>
    <t>Phase-by-phase plan with durations, squads and dependencies; total weeks computed.</t>
  </si>
  <si>
    <t>Audit Checklist</t>
  </si>
  <si>
    <t>50+ automated SEO checks mapped to data source, severity &amp; owner; feeds the SEO Action Plan.</t>
  </si>
  <si>
    <t>Auth: SSO/OIDC + JWT + MFA</t>
  </si>
  <si>
    <t>Pricing Matrix</t>
  </si>
  <si>
    <t>name</t>
  </si>
  <si>
    <t>Refresh rotation, step-up auth for vault</t>
  </si>
  <si>
    <t>Feature availability across Essentials / Advanced / Enterprise tiers (from reference screenshots).</t>
  </si>
  <si>
    <t>Cost Estimate</t>
  </si>
  <si>
    <t>Effort by phase → hours → cost. EDIT ONLY the blue input cells; totals are formulas.</t>
  </si>
  <si>
    <t>F-003</t>
  </si>
  <si>
    <t>text</t>
  </si>
  <si>
    <t>Legend</t>
  </si>
  <si>
    <t>Projects, tasks, time tracking</t>
  </si>
  <si>
    <t>Dashboard</t>
  </si>
  <si>
    <t>Timers, timesheets, billable flag, reports</t>
  </si>
  <si>
    <t>Blue cell</t>
  </si>
  <si>
    <t>F-004</t>
  </si>
  <si>
    <t>Job queue + worker fleet + scheduler</t>
  </si>
  <si>
    <t>Overview &amp; KPIs</t>
  </si>
  <si>
    <t>Retry/backoff, rate-limit tokens, DLQ</t>
  </si>
  <si>
    <t>Cross-module KPIs, activity feed, quick actions</t>
  </si>
  <si>
    <t>F-005</t>
  </si>
  <si>
    <t>Activity log / audit trail</t>
  </si>
  <si>
    <t>Immutable, filterable, per-tenant</t>
  </si>
  <si>
    <t>P1</t>
  </si>
  <si>
    <t>F-006</t>
  </si>
  <si>
    <t>SEO Audit</t>
  </si>
  <si>
    <t>M</t>
  </si>
  <si>
    <t>Editable input (change these)</t>
  </si>
  <si>
    <t>Crawl orchestration</t>
  </si>
  <si>
    <t>0</t>
  </si>
  <si>
    <t>Politeness, robots, dedupe, link graph</t>
  </si>
  <si>
    <t>plan</t>
  </si>
  <si>
    <t>F-007</t>
  </si>
  <si>
    <t>Green</t>
  </si>
  <si>
    <t>essentials/advanced/enterprise</t>
  </si>
  <si>
    <t>Rule engine + weighted score</t>
  </si>
  <si>
    <t>user</t>
  </si>
  <si>
    <t>Technical/on-page/content/off-page</t>
  </si>
  <si>
    <t>F-008</t>
  </si>
  <si>
    <t>Priority ranking of issues</t>
  </si>
  <si>
    <t>organisation_id</t>
  </si>
  <si>
    <t>Tasks</t>
  </si>
  <si>
    <t>Task list/board tied to projects</t>
  </si>
  <si>
    <t>impact×prevalence×effort-inverse</t>
  </si>
  <si>
    <t>FK</t>
  </si>
  <si>
    <t>F-009</t>
  </si>
  <si>
    <t>AI recommendations (Claude)</t>
  </si>
  <si>
    <t>Time Tracking</t>
  </si>
  <si>
    <t>Should</t>
  </si>
  <si>
    <t>Timers, timesheets, billable hours, productivity reports</t>
  </si>
  <si>
    <t>Done / included / P1</t>
  </si>
  <si>
    <t>Projects</t>
  </si>
  <si>
    <t>Projects, templates, multi-assignee</t>
  </si>
  <si>
    <t>Amber</t>
  </si>
  <si>
    <t>In progress / partial / P2</t>
  </si>
  <si>
    <t>Team</t>
  </si>
  <si>
    <t>Departments, roles, permissions</t>
  </si>
  <si>
    <t>Top issues → fix guidance</t>
  </si>
  <si>
    <t>Red / —</t>
  </si>
  <si>
    <t>F-010</t>
  </si>
  <si>
    <t>PDF/Excel export + white-label</t>
  </si>
  <si>
    <t>SEO</t>
  </si>
  <si>
    <t>Branded, scheduled</t>
  </si>
  <si>
    <t>Rank Tracker</t>
  </si>
  <si>
    <t>F-011</t>
  </si>
  <si>
    <t>Keyword rank tracking, history, reports</t>
  </si>
  <si>
    <t>Keyword rank checks + history</t>
  </si>
  <si>
    <t>L</t>
  </si>
  <si>
    <t>Daily/weekly/monthly; ClickHouse</t>
  </si>
  <si>
    <t>1</t>
  </si>
  <si>
    <t>F-012</t>
  </si>
  <si>
    <t>SERP feature &amp; competitor tracking</t>
  </si>
  <si>
    <t>Featured snippets, local pack</t>
  </si>
  <si>
    <t>Technical/on-page/content scoring engine + PDF</t>
  </si>
  <si>
    <t>F-013</t>
  </si>
  <si>
    <t>Backlink CRM</t>
  </si>
  <si>
    <t>XL</t>
  </si>
  <si>
    <t>Backlink DB + classification</t>
  </si>
  <si>
    <t>→ organisation</t>
  </si>
  <si>
    <t>paid/free, dofollow/nofollow/sponsored/ugc</t>
  </si>
  <si>
    <t>F-014</t>
  </si>
  <si>
    <t>email</t>
  </si>
  <si>
    <t>Screaming Frog Automation</t>
  </si>
  <si>
    <t>Supplier CRM + email management</t>
  </si>
  <si>
    <t>citext</t>
  </si>
  <si>
    <t>Scheduled crawls, issue detection, crawl diff</t>
  </si>
  <si>
    <t>Profiles, price lists, comms history</t>
  </si>
  <si>
    <t>unique per org</t>
  </si>
  <si>
    <t>Not included / blocked</t>
  </si>
  <si>
    <t>F-015</t>
  </si>
  <si>
    <t>Live/Removed verification job</t>
  </si>
  <si>
    <t>role</t>
  </si>
  <si>
    <t>Headless fallback, evidence, history</t>
  </si>
  <si>
    <t>owner/admin/manager/staff/client</t>
  </si>
  <si>
    <t>F-016</t>
  </si>
  <si>
    <t>project</t>
  </si>
  <si>
    <t>Semrush toxic scoring + workflow</t>
  </si>
  <si>
    <t>Ahrefs Integration</t>
  </si>
  <si>
    <t>Domain/keyword/backlink data ingest</t>
  </si>
  <si>
    <t>Advisory only; human disavow gate</t>
  </si>
  <si>
    <t>F-017</t>
  </si>
  <si>
    <t>File management (invoices/reports)</t>
  </si>
  <si>
    <t>P2</t>
  </si>
  <si>
    <t>Linked client→project→supplier→backlink</t>
  </si>
  <si>
    <t>2</t>
  </si>
  <si>
    <t>F-018</t>
  </si>
  <si>
    <t>Credential vault (encrypted)</t>
  </si>
  <si>
    <t>Semrush Integration</t>
  </si>
  <si>
    <t>Keyword/position/toxic data ingest</t>
  </si>
  <si>
    <t>KMS, masked, audited, no secrets in export</t>
  </si>
  <si>
    <t>F-019</t>
  </si>
  <si>
    <t>site</t>
  </si>
  <si>
    <t>Backlink dashboard + KPIs</t>
  </si>
  <si>
    <t>Live/removed/toxic, live-rate, retention</t>
  </si>
  <si>
    <t>F-020</t>
  </si>
  <si>
    <t>Keywords</t>
  </si>
  <si>
    <t>Local SEO</t>
  </si>
  <si>
    <t>Geo-grid rank (Teleport)</t>
  </si>
  <si>
    <t>Research, clustering, difficulty, gaps</t>
  </si>
  <si>
    <t>Grid gen, geo SERP, heatmap, metrics</t>
  </si>
  <si>
    <t>project_id</t>
  </si>
  <si>
    <t>F-021</t>
  </si>
  <si>
    <t>GMB/GBP audit + NAP</t>
  </si>
  <si>
    <t>→ project</t>
  </si>
  <si>
    <t>Completeness, same-address, knowledge panel</t>
  </si>
  <si>
    <t>Rankings</t>
  </si>
  <si>
    <t>Aggregated ranking dashboards</t>
  </si>
  <si>
    <t>F-022</t>
  </si>
  <si>
    <t>domain</t>
  </si>
  <si>
    <t>Review audit + AI responses</t>
  </si>
  <si>
    <t>keyword</t>
  </si>
  <si>
    <t>Sentiment, trends, competitor compare</t>
  </si>
  <si>
    <t>F-023</t>
  </si>
  <si>
    <t>Category finder</t>
  </si>
  <si>
    <t>Backlinks (CRM)</t>
  </si>
  <si>
    <t>Paid/free DB, live/removed, files, metrics</t>
  </si>
  <si>
    <t>Primary/secondary + competitor categories</t>
  </si>
  <si>
    <t>F-024</t>
  </si>
  <si>
    <t>Website↔GBP consistency</t>
  </si>
  <si>
    <t>Field matching + score</t>
  </si>
  <si>
    <t>phrase</t>
  </si>
  <si>
    <t>F-025</t>
  </si>
  <si>
    <t>Backlink Marketplace</t>
  </si>
  <si>
    <t>AI Studio</t>
  </si>
  <si>
    <t>Buy/sell, publisher &amp; advertiser, orders</t>
  </si>
  <si>
    <t>Content state machine</t>
  </si>
  <si>
    <t>country/lang</t>
  </si>
  <si>
    <t>draft→generated→review→approve→publish</t>
  </si>
  <si>
    <t>P3</t>
  </si>
  <si>
    <t>locale for SERP</t>
  </si>
  <si>
    <t>F-026</t>
  </si>
  <si>
    <t>Blog/news/social/GMB generators</t>
  </si>
  <si>
    <t>rank_history</t>
  </si>
  <si>
    <t>keyword_id</t>
  </si>
  <si>
    <t>Brief templates per type, brand voice</t>
  </si>
  <si>
    <t>F-027</t>
  </si>
  <si>
    <t>→ keyword — ClickHouse (time-series)</t>
  </si>
  <si>
    <t>Image generation + sizes</t>
  </si>
  <si>
    <t>checked_at</t>
  </si>
  <si>
    <t>Branded, bulk</t>
  </si>
  <si>
    <t>datetime</t>
  </si>
  <si>
    <t>6</t>
  </si>
  <si>
    <t>F-028</t>
  </si>
  <si>
    <t>Approval workflow</t>
  </si>
  <si>
    <t>Role-gated, reject-with-notes</t>
  </si>
  <si>
    <t>GMB/GBP Audit</t>
  </si>
  <si>
    <t>partition key</t>
  </si>
  <si>
    <t>F-029</t>
  </si>
  <si>
    <t>Profile completeness, NAP, knowledge panel</t>
  </si>
  <si>
    <t>Social</t>
  </si>
  <si>
    <t>Connectors: Meta/LinkedIn/X</t>
  </si>
  <si>
    <t>position</t>
  </si>
  <si>
    <t>int</t>
  </si>
  <si>
    <t>OAuth, publish, idempotent</t>
  </si>
  <si>
    <t>3</t>
  </si>
  <si>
    <t>F-030</t>
  </si>
  <si>
    <t>audit_run</t>
  </si>
  <si>
    <t>Content calendar + scheduler</t>
  </si>
  <si>
    <t>Category Finder</t>
  </si>
  <si>
    <t>Multi-account, recurring, campaigns</t>
  </si>
  <si>
    <t>F-031</t>
  </si>
  <si>
    <t>site_id</t>
  </si>
  <si>
    <t>Analytics ingest</t>
  </si>
  <si>
    <t>→ site</t>
  </si>
  <si>
    <t>Engagement, failed-post alerts</t>
  </si>
  <si>
    <t>F-032</t>
  </si>
  <si>
    <t>Leads/CRM</t>
  </si>
  <si>
    <t>score</t>
  </si>
  <si>
    <t>Lead capture + dedupe</t>
  </si>
  <si>
    <t>Review Audit</t>
  </si>
  <si>
    <t>numeric</t>
  </si>
  <si>
    <t>Volume, sentiment, trends, AI responses</t>
  </si>
  <si>
    <t>Forms, FB/LI lead ads, webhooks</t>
  </si>
  <si>
    <t>0-100 weighted</t>
  </si>
  <si>
    <t>F-033</t>
  </si>
  <si>
    <t>audit_issue</t>
  </si>
  <si>
    <t>Attribution models</t>
  </si>
  <si>
    <t>first/last/linear touch</t>
  </si>
  <si>
    <t>F-034</t>
  </si>
  <si>
    <t>Post Audit</t>
  </si>
  <si>
    <t>audit_run_id</t>
  </si>
  <si>
    <t>HubSpot sync</t>
  </si>
  <si>
    <t>Posting cadence &amp; content analysis</t>
  </si>
  <si>
    <t>→ audit_run</t>
  </si>
  <si>
    <t>Two-way where supported</t>
  </si>
  <si>
    <t>rule</t>
  </si>
  <si>
    <t>F-035</t>
  </si>
  <si>
    <t>Calendly booking tracking</t>
  </si>
  <si>
    <t>Local Scan</t>
  </si>
  <si>
    <t>severity</t>
  </si>
  <si>
    <t>Could</t>
  </si>
  <si>
    <t>Multi-competitor local comparison</t>
  </si>
  <si>
    <t>+ priority score</t>
  </si>
  <si>
    <t>crawl_run</t>
  </si>
  <si>
    <t>scope/depth/robots</t>
  </si>
  <si>
    <t>lead→booking attribution</t>
  </si>
  <si>
    <t>F-036</t>
  </si>
  <si>
    <t>Rank / Teleport (geo-grid)</t>
  </si>
  <si>
    <t>Reporting</t>
  </si>
  <si>
    <t>Looker Studio + custom builder</t>
  </si>
  <si>
    <t>Grid-based Maps/Local Finder rank + heatmap</t>
  </si>
  <si>
    <t>Drag-drop, schedule, white-label</t>
  </si>
  <si>
    <t>supplier</t>
  </si>
  <si>
    <t>F-037</t>
  </si>
  <si>
    <t>Integrations</t>
  </si>
  <si>
    <t>Teams notifications</t>
  </si>
  <si>
    <t>backlink supplier</t>
  </si>
  <si>
    <t>Alerts, reports, approvals</t>
  </si>
  <si>
    <t>F-038</t>
  </si>
  <si>
    <t>Accounting add-on (Xero/MYOB/QB)</t>
  </si>
  <si>
    <t>Competitor Research</t>
  </si>
  <si>
    <t>Discovery, gaps, local score</t>
  </si>
  <si>
    <t>Optional tier</t>
  </si>
  <si>
    <t>name/email/phone</t>
  </si>
  <si>
    <t>F-039</t>
  </si>
  <si>
    <t>AI Engine</t>
  </si>
  <si>
    <t>contact + rating</t>
  </si>
  <si>
    <t>Multi-provider gateway</t>
  </si>
  <si>
    <t>Claude/OpenAI/Perplexity/Gemini; routing, fallback, keys in vault</t>
  </si>
  <si>
    <t>country/niche</t>
  </si>
  <si>
    <t>F-040</t>
  </si>
  <si>
    <t>Prompt library (embedded + custom)</t>
  </si>
  <si>
    <t>backlink</t>
  </si>
  <si>
    <t>Website ↔ GBP Audit</t>
  </si>
  <si>
    <t>Variables, versioning, per-type templates</t>
  </si>
  <si>
    <t>Consistency scoring across site &amp; profile</t>
  </si>
  <si>
    <t>F-041</t>
  </si>
  <si>
    <t>Skills system (inbuilt + custom)</t>
  </si>
  <si>
    <t>Skill = instructions + tools + output schema; enable/add</t>
  </si>
  <si>
    <t>F-042</t>
  </si>
  <si>
    <t>AI agent teams / workflows</t>
  </si>
  <si>
    <t>target_site_id</t>
  </si>
  <si>
    <t>Chrome Extension</t>
  </si>
  <si>
    <t>Chain agents: research→outline→write→edit; tool calls</t>
  </si>
  <si>
    <t>Audit buttons on Search/Maps/GBP</t>
  </si>
  <si>
    <t>F-043</t>
  </si>
  <si>
    <t>supplier_id</t>
  </si>
  <si>
    <t>AI usage &amp; cost analytics</t>
  </si>
  <si>
    <t>Per-provider tokens, quota, cost dashboards</t>
  </si>
  <si>
    <t>→ supplier (nullable if free)</t>
  </si>
  <si>
    <t>F-044</t>
  </si>
  <si>
    <t>Comprehensive Audit</t>
  </si>
  <si>
    <t>Multi-source aggregation</t>
  </si>
  <si>
    <t>source_url/target_url</t>
  </si>
  <si>
    <t>Blog Generator</t>
  </si>
  <si>
    <t>Merge SF + Ahrefs + Semrush + PSI + GSC + on-page</t>
  </si>
  <si>
    <t>Brief→outline→draft→schema→publish</t>
  </si>
  <si>
    <t>F-045</t>
  </si>
  <si>
    <t>anchor_text</t>
  </si>
  <si>
    <t>Automated checklist engine</t>
  </si>
  <si>
    <t>4</t>
  </si>
  <si>
    <t>50+ checks: detector + data source + grade + owner</t>
  </si>
  <si>
    <t>link_type</t>
  </si>
  <si>
    <t>F-046</t>
  </si>
  <si>
    <t>PageSpeed / Core Web Vitals</t>
  </si>
  <si>
    <t>dofollow/nofollow/sponsored/ugc</t>
  </si>
  <si>
    <t>News Generator</t>
  </si>
  <si>
    <t>PSI desktop/mobile, LCP/CLS/INP, history</t>
  </si>
  <si>
    <t>Topic discovery, drafting, scheduling</t>
  </si>
  <si>
    <t>F-047</t>
  </si>
  <si>
    <t>paid_or_free</t>
  </si>
  <si>
    <t>GSC coverage/index issues</t>
  </si>
  <si>
    <t>404/soft404/noindex/redirect/crawled-not-indexed</t>
  </si>
  <si>
    <t>F-048</t>
  </si>
  <si>
    <t>status</t>
  </si>
  <si>
    <t>Page-to-page + competitor audit</t>
  </si>
  <si>
    <t>live/removed/changed/noindex/…</t>
  </si>
  <si>
    <t>Full-site &amp; per-page vs competitors</t>
  </si>
  <si>
    <t>Whitepaper Generator</t>
  </si>
  <si>
    <t>F-049</t>
  </si>
  <si>
    <t>cost/currency</t>
  </si>
  <si>
    <t>Auto SEO action plan</t>
  </si>
  <si>
    <t>Long-form + charts + PDF</t>
  </si>
  <si>
    <t>Prioritized plan generated from findings</t>
  </si>
  <si>
    <t>F-050</t>
  </si>
  <si>
    <t>Topical Content</t>
  </si>
  <si>
    <t>Parent/child keyword clustering</t>
  </si>
  <si>
    <t>Topical map from seed keywords</t>
  </si>
  <si>
    <t>F-051</t>
  </si>
  <si>
    <t>Publication Generator</t>
  </si>
  <si>
    <t>dr/da/authority</t>
  </si>
  <si>
    <t>Content plan builder</t>
  </si>
  <si>
    <t>Thought-leadership articles</t>
  </si>
  <si>
    <t>Pillar+cluster, briefs, internal-link map</t>
  </si>
  <si>
    <t>cached metrics</t>
  </si>
  <si>
    <t>F-052</t>
  </si>
  <si>
    <t>Landing page generator</t>
  </si>
  <si>
    <t>toxicity_score</t>
  </si>
  <si>
    <t>0-100 advisory</t>
  </si>
  <si>
    <t>Copy + meta + schema per intent</t>
  </si>
  <si>
    <t>F-053</t>
  </si>
  <si>
    <t>Playbook Generator</t>
  </si>
  <si>
    <t>first_detected/last_verified</t>
  </si>
  <si>
    <t>ReleVink AI placement finder</t>
  </si>
  <si>
    <t>SOPs/playbooks, versioned, export</t>
  </si>
  <si>
    <t>Keyword/anchor → relevant pages</t>
  </si>
  <si>
    <t>backlink_check_history</t>
  </si>
  <si>
    <t>F-054</t>
  </si>
  <si>
    <t>Forms &amp; Leads</t>
  </si>
  <si>
    <t>backlink_id</t>
  </si>
  <si>
    <t>Form builder + embed</t>
  </si>
  <si>
    <t>Contact/custom forms, validation, spam guard</t>
  </si>
  <si>
    <t>→ backlink — ClickHouse (time-series)</t>
  </si>
  <si>
    <t>F-055</t>
  </si>
  <si>
    <t>Website Generator</t>
  </si>
  <si>
    <t>External form connectors</t>
  </si>
  <si>
    <t>Landing/service/location pages, meta, schema</t>
  </si>
  <si>
    <t>Webhooks, native form platforms</t>
  </si>
  <si>
    <t>F-056</t>
  </si>
  <si>
    <t>Onboarding/profiling capture</t>
  </si>
  <si>
    <t>http_status/rel/is_indexed</t>
  </si>
  <si>
    <t>who/what/source qualification</t>
  </si>
  <si>
    <t>mixed</t>
  </si>
  <si>
    <t>F-057</t>
  </si>
  <si>
    <t>Free Tools</t>
  </si>
  <si>
    <t>verification snapshot</t>
  </si>
  <si>
    <t>Free tools suite + gating</t>
  </si>
  <si>
    <t>backlink_file</t>
  </si>
  <si>
    <t>Social Posts</t>
  </si>
  <si>
    <t>Per-platform post + caption + hashtags</t>
  </si>
  <si>
    <t>Domain age, broken link, link analyzer, dofollow/nofollow, website finder</t>
  </si>
  <si>
    <t>F-058</t>
  </si>
  <si>
    <t>invoice/report/screenshot</t>
  </si>
  <si>
    <t>Public backlink monitor</t>
  </si>
  <si>
    <t>backlink_id/supplier_id</t>
  </si>
  <si>
    <t>Lead-gen public tool</t>
  </si>
  <si>
    <t>links to entity</t>
  </si>
  <si>
    <t>F-059</t>
  </si>
  <si>
    <t>Marketplace</t>
  </si>
  <si>
    <t>credential</t>
  </si>
  <si>
    <t>GMB Posts</t>
  </si>
  <si>
    <t>Listings + filters + search</t>
  </si>
  <si>
    <t>Offer/update/event posts + images</t>
  </si>
  <si>
    <t>DA/DR/AS, CF/TF, spam, category, country, price, bulk</t>
  </si>
  <si>
    <t>vault reference only</t>
  </si>
  <si>
    <t>F-060</t>
  </si>
  <si>
    <t>supplier_id/site_id</t>
  </si>
  <si>
    <t>Cart, orders &amp; fulfilment</t>
  </si>
  <si>
    <t>subject of secret</t>
  </si>
  <si>
    <t>Guest post/link insertion, TAT, sample/report/block</t>
  </si>
  <si>
    <t>F-061</t>
  </si>
  <si>
    <t>vault_ref</t>
  </si>
  <si>
    <t>Image Generator</t>
  </si>
  <si>
    <t>Wallet, funds &amp; invoicing</t>
  </si>
  <si>
    <t>pointer to KMS/Vault; NO plaintext</t>
  </si>
  <si>
    <t>Branded images, multiple sizes, bulk</t>
  </si>
  <si>
    <t>Balance, add funds, payouts, invoices</t>
  </si>
  <si>
    <t>gbp_location</t>
  </si>
  <si>
    <t>F-062</t>
  </si>
  <si>
    <t>Services catalog</t>
  </si>
  <si>
    <t>Google Business Profile</t>
  </si>
  <si>
    <t>Link building, guest post, PR, niche edits, content, brand mentions</t>
  </si>
  <si>
    <t>Automation</t>
  </si>
  <si>
    <t>Content Automation</t>
  </si>
  <si>
    <t>Bulk generate→approve→schedule→publish</t>
  </si>
  <si>
    <t>TOTAL STORY POINTS</t>
  </si>
  <si>
    <t>place_id/cid</t>
  </si>
  <si>
    <t>5</t>
  </si>
  <si>
    <t>gbp_review</t>
  </si>
  <si>
    <t>location_id</t>
  </si>
  <si>
    <t>SEO Automation</t>
  </si>
  <si>
    <t>→ gbp_location</t>
  </si>
  <si>
    <t>Scheduled audits/crawls/rank + alerts</t>
  </si>
  <si>
    <t>gbp_post</t>
  </si>
  <si>
    <t>grid_scan</t>
  </si>
  <si>
    <t>geo-grid run</t>
  </si>
  <si>
    <t>GMB Automation</t>
  </si>
  <si>
    <t>Bulk GBP posts across locations</t>
  </si>
  <si>
    <t>→ keyword</t>
  </si>
  <si>
    <t>grid_point</t>
  </si>
  <si>
    <t>scan_id</t>
  </si>
  <si>
    <t>→ grid_scan; lat/lng/position</t>
  </si>
  <si>
    <t>Social Automation</t>
  </si>
  <si>
    <t>content_item</t>
  </si>
  <si>
    <t>Recurring/campaign scheduling</t>
  </si>
  <si>
    <t>type/state/channel</t>
  </si>
  <si>
    <t>Report Automation</t>
  </si>
  <si>
    <t>Scheduled white-label PDF/Excel reports</t>
  </si>
  <si>
    <t>state machine</t>
  </si>
  <si>
    <t>content_version</t>
  </si>
  <si>
    <t>content_item_id</t>
  </si>
  <si>
    <t>→ content_item</t>
  </si>
  <si>
    <t>schedule</t>
  </si>
  <si>
    <t>Social Accounts</t>
  </si>
  <si>
    <t>Connect Meta/LinkedIn/X, multi-account</t>
  </si>
  <si>
    <t>scheduled_at</t>
  </si>
  <si>
    <t>publish_job</t>
  </si>
  <si>
    <t>idempotency_key</t>
  </si>
  <si>
    <t>Content Calendar</t>
  </si>
  <si>
    <t>Unified calendar &amp; approvals</t>
  </si>
  <si>
    <t>lead</t>
  </si>
  <si>
    <t>Analytics</t>
  </si>
  <si>
    <t>Engagement &amp; performance tracking</t>
  </si>
  <si>
    <t>email/phone</t>
  </si>
  <si>
    <t>dedupe keys</t>
  </si>
  <si>
    <t>utm_source/medium/campaign</t>
  </si>
  <si>
    <t>attribution</t>
  </si>
  <si>
    <t>Leads &amp; Forms</t>
  </si>
  <si>
    <t>Capture, dedupe, status, assignment</t>
  </si>
  <si>
    <t>crm_contact_id</t>
  </si>
  <si>
    <t>HubSpot id (nullable)</t>
  </si>
  <si>
    <t>form</t>
  </si>
  <si>
    <t>Attribution</t>
  </si>
  <si>
    <t>UTM/source/campaign attribution models</t>
  </si>
  <si>
    <t>source form</t>
  </si>
  <si>
    <t>Points by epic</t>
  </si>
  <si>
    <t>campaign</t>
  </si>
  <si>
    <t>activity_log</t>
  </si>
  <si>
    <t>HubSpot</t>
  </si>
  <si>
    <t>Two-way contact/deal/form sync</t>
  </si>
  <si>
    <t>immutable audit</t>
  </si>
  <si>
    <t>actor_id/action/target</t>
  </si>
  <si>
    <t>who/what/when</t>
  </si>
  <si>
    <t>Calendly</t>
  </si>
  <si>
    <t>ai_provider</t>
  </si>
  <si>
    <t>Booking links &amp; lead→booking tracking</t>
  </si>
  <si>
    <t>S</t>
  </si>
  <si>
    <t>Claude/OpenAI/Perplexity/Gemini/custom</t>
  </si>
  <si>
    <t>Team &amp; Admin</t>
  </si>
  <si>
    <t>Approvals</t>
  </si>
  <si>
    <t>Content/permission approval chains</t>
  </si>
  <si>
    <t>name/type/base_url</t>
  </si>
  <si>
    <t>routing config</t>
  </si>
  <si>
    <t>Microsoft Teams</t>
  </si>
  <si>
    <t>Notifications &amp; channels</t>
  </si>
  <si>
    <t>credential_id</t>
  </si>
  <si>
    <t>→ credential (key in vault)</t>
  </si>
  <si>
    <t>White-Label</t>
  </si>
  <si>
    <t>default_model/fallback_id</t>
  </si>
  <si>
    <t>Per-tenant branding &amp; domains</t>
  </si>
  <si>
    <t>routing &amp; fallback</t>
  </si>
  <si>
    <t>prompt</t>
  </si>
  <si>
    <t>Credential Vault</t>
  </si>
  <si>
    <t>Encrypted supplier/site creds, audited</t>
  </si>
  <si>
    <t>embedded or custom</t>
  </si>
  <si>
    <t>External providers wrapped in uniform connectors (auth/fetch/publish/health).</t>
  </si>
  <si>
    <t>null = built-in/embedded</t>
  </si>
  <si>
    <t>Integrations Hub</t>
  </si>
  <si>
    <t>OAuth connector management</t>
  </si>
  <si>
    <t>name/type/body</t>
  </si>
  <si>
    <t>Provider</t>
  </si>
  <si>
    <t>variables {{...}}</t>
  </si>
  <si>
    <t>Category</t>
  </si>
  <si>
    <t>AI Provider Hub</t>
  </si>
  <si>
    <t>version/is_custom</t>
  </si>
  <si>
    <t>Purpose</t>
  </si>
  <si>
    <t>Connect Claude, OpenAI/ChatGPT, Perplexity, Gemini + others; routing &amp; fallback</t>
  </si>
  <si>
    <t>Auth</t>
  </si>
  <si>
    <t>versioned library</t>
  </si>
  <si>
    <t>Quota / cost concern</t>
  </si>
  <si>
    <t>skill</t>
  </si>
  <si>
    <t>Prompt Library</t>
  </si>
  <si>
    <t>Embedded prompts + custom prompts, variables, versioning</t>
  </si>
  <si>
    <t>inbuilt or custom</t>
  </si>
  <si>
    <t>Claude (Anthropic)</t>
  </si>
  <si>
    <t>AI</t>
  </si>
  <si>
    <t>null = inbuilt</t>
  </si>
  <si>
    <t>Skills System</t>
  </si>
  <si>
    <t>Content, briefs, audit recommendations, review replies</t>
  </si>
  <si>
    <t>API key</t>
  </si>
  <si>
    <t>Inbuilt skills + custom skills (reusable instruction+tool packs)</t>
  </si>
  <si>
    <t>Token cost — cache &amp; batch</t>
  </si>
  <si>
    <t>name/instructions</t>
  </si>
  <si>
    <t>reusable instruction pack</t>
  </si>
  <si>
    <t>AI Agent Teams</t>
  </si>
  <si>
    <t>tools/output_schema</t>
  </si>
  <si>
    <t>Compose multi-agent workflows (research→outline→write→edit)</t>
  </si>
  <si>
    <t>jsonb</t>
  </si>
  <si>
    <t>Ahrefs</t>
  </si>
  <si>
    <t>tool refs + expected output</t>
  </si>
  <si>
    <t>SEO data</t>
  </si>
  <si>
    <t>is_custom/enabled</t>
  </si>
  <si>
    <t>AI Cost &amp; Usage</t>
  </si>
  <si>
    <t>Backlinks, keywords, domain metrics</t>
  </si>
  <si>
    <t>bool</t>
  </si>
  <si>
    <t>Per-provider token cost, quotas, usage analytics</t>
  </si>
  <si>
    <t>agent</t>
  </si>
  <si>
    <t>member of a team</t>
  </si>
  <si>
    <t>Costly — schedule &amp; cache</t>
  </si>
  <si>
    <t>Semrush</t>
  </si>
  <si>
    <t>name/role</t>
  </si>
  <si>
    <t>e.g. researcher/writer/editor</t>
  </si>
  <si>
    <t>Toxic score, positions, backlinks</t>
  </si>
  <si>
    <t>Row limits per plan</t>
  </si>
  <si>
    <t>provider_id</t>
  </si>
  <si>
    <t>Google Search Console</t>
  </si>
  <si>
    <t>→ ai_provider</t>
  </si>
  <si>
    <t>Google PSI: desktop/mobile, LCP/CLS/INP, history, fixes</t>
  </si>
  <si>
    <t>Clicks, impressions, queries</t>
  </si>
  <si>
    <t>skill_ids</t>
  </si>
  <si>
    <t>OAuth2</t>
  </si>
  <si>
    <t>uuid[]</t>
  </si>
  <si>
    <t>Per-property; sampling</t>
  </si>
  <si>
    <t>→ skill (many)</t>
  </si>
  <si>
    <t>agent_team</t>
  </si>
  <si>
    <t>Search Console Audit</t>
  </si>
  <si>
    <t>Local</t>
  </si>
  <si>
    <t>Locations, reviews, posts, publishing</t>
  </si>
  <si>
    <t>GSC coverage/index issues ingest into audit</t>
  </si>
  <si>
    <t>workflow of agents</t>
  </si>
  <si>
    <t>steps</t>
  </si>
  <si>
    <t>ordered agent steps + routing</t>
  </si>
  <si>
    <t>Rate limits; review policies</t>
  </si>
  <si>
    <t>agent_run</t>
  </si>
  <si>
    <t>Automated Audit Checklist</t>
  </si>
  <si>
    <t>50+ checks mapped to data source + owner (from checklist)</t>
  </si>
  <si>
    <t>Google Maps / Places</t>
  </si>
  <si>
    <t>one execution</t>
  </si>
  <si>
    <t>agent_team_id</t>
  </si>
  <si>
    <t>Geo-grid SERP, place data</t>
  </si>
  <si>
    <t>Competitor Audit (site &amp; page)</t>
  </si>
  <si>
    <t>Whole-site + page-to-page comparison vs competitors</t>
  </si>
  <si>
    <t>Per-request billing</t>
  </si>
  <si>
    <t>→ agent_team</t>
  </si>
  <si>
    <t>Google Analytics 4</t>
  </si>
  <si>
    <t>status/input/output</t>
  </si>
  <si>
    <t>Traffic &amp; conversions</t>
  </si>
  <si>
    <t>SEO Action Plan</t>
  </si>
  <si>
    <t>trace, tokens, cost</t>
  </si>
  <si>
    <t>API quotas</t>
  </si>
  <si>
    <t>Auto-generate prioritized SEO plan from audit findings</t>
  </si>
  <si>
    <t>ai_usage</t>
  </si>
  <si>
    <t>Google Ads</t>
  </si>
  <si>
    <t>Ads</t>
  </si>
  <si>
    <t>Campaign &amp; lead data</t>
  </si>
  <si>
    <t>→ ai_provider — tokens/cost (ClickHouse)</t>
  </si>
  <si>
    <t>Landing Page Generator</t>
  </si>
  <si>
    <t>Dev token approval</t>
  </si>
  <si>
    <t>audit_checklist_item</t>
  </si>
  <si>
    <t>Landing/service/location page copy + meta + schema</t>
  </si>
  <si>
    <t>Meta (Facebook/Instagram)</t>
  </si>
  <si>
    <t>catalog of checks</t>
  </si>
  <si>
    <t>Publish, page/ads insights, lead ads</t>
  </si>
  <si>
    <t>Topical Map</t>
  </si>
  <si>
    <t>code/category</t>
  </si>
  <si>
    <t>App review; IG publish rules</t>
  </si>
  <si>
    <t>Parent/child keyword clustering → topical map</t>
  </si>
  <si>
    <t>e.g. TECH-01 / On-Page</t>
  </si>
  <si>
    <t>LinkedIn</t>
  </si>
  <si>
    <t>Publish, lead gen forms</t>
  </si>
  <si>
    <t>check/data_source</t>
  </si>
  <si>
    <t>Content Plan Builder</t>
  </si>
  <si>
    <t>Restricted scopes</t>
  </si>
  <si>
    <t>Pillar+cluster plan, briefs, internal-link map</t>
  </si>
  <si>
    <t>detector + SF/Ahrefs/Semrush/PSI/GSC</t>
  </si>
  <si>
    <t>X (Twitter)</t>
  </si>
  <si>
    <t>Publish, analytics</t>
  </si>
  <si>
    <t>severity/default_owner</t>
  </si>
  <si>
    <t>Tiered rate limits</t>
  </si>
  <si>
    <t>ReleVink AI (placement finder)</t>
  </si>
  <si>
    <t>Keyword/anchor → find relevant pages for links</t>
  </si>
  <si>
    <t>audit_result</t>
  </si>
  <si>
    <t>Microsoft Ads / Bing WMT</t>
  </si>
  <si>
    <t>SEO/Ads</t>
  </si>
  <si>
    <t>Webmaster &amp; ads data</t>
  </si>
  <si>
    <t>result per run</t>
  </si>
  <si>
    <t>—</t>
  </si>
  <si>
    <t>Form Builder</t>
  </si>
  <si>
    <t>Contact &amp; custom forms, embeddable, validation</t>
  </si>
  <si>
    <t>CRM</t>
  </si>
  <si>
    <t>Contacts, deals, forms (two-way)</t>
  </si>
  <si>
    <t>API daily limits</t>
  </si>
  <si>
    <t>Form Connectors</t>
  </si>
  <si>
    <t>Connect external forms/webhooks for lead capture</t>
  </si>
  <si>
    <t>checklist_item_id</t>
  </si>
  <si>
    <t>Booking links &amp; events</t>
  </si>
  <si>
    <t>OAuth2/API</t>
  </si>
  <si>
    <t>Webhook-driven</t>
  </si>
  <si>
    <t>→ audit_checklist_item</t>
  </si>
  <si>
    <t>Onboarding / Profiling</t>
  </si>
  <si>
    <t>Notify</t>
  </si>
  <si>
    <t>grade/count/affected</t>
  </si>
  <si>
    <t>Channels, alerts, reports</t>
  </si>
  <si>
    <t>Qualify leads (who/what/source) on signup</t>
  </si>
  <si>
    <t>OAuth2 / webhook</t>
  </si>
  <si>
    <t>pass/fail/partial + pages</t>
  </si>
  <si>
    <t>Message throttling</t>
  </si>
  <si>
    <t>source_payload</t>
  </si>
  <si>
    <t>Screaming Frog</t>
  </si>
  <si>
    <t>Crawl</t>
  </si>
  <si>
    <t>Domain Age Checker</t>
  </si>
  <si>
    <t>Crawl data (self-hosted CLI)</t>
  </si>
  <si>
    <t>Check domain history in seconds</t>
  </si>
  <si>
    <t>raw evidence from provider</t>
  </si>
  <si>
    <t>License/CLI</t>
  </si>
  <si>
    <t>Self-hosted resource</t>
  </si>
  <si>
    <t>pagespeed_result</t>
  </si>
  <si>
    <t>site_id/url</t>
  </si>
  <si>
    <t>Xero / MYOB / QuickBooks</t>
  </si>
  <si>
    <t>Billing</t>
  </si>
  <si>
    <t>→ site — PSI</t>
  </si>
  <si>
    <t>Accounting add-on</t>
  </si>
  <si>
    <t>Broken Link Checker</t>
  </si>
  <si>
    <t>Optional add-on</t>
  </si>
  <si>
    <t>Find &amp; fix broken links</t>
  </si>
  <si>
    <t>device/lcp/cls/inp/score</t>
  </si>
  <si>
    <t>Looker Studio</t>
  </si>
  <si>
    <t>Core Web Vitals (time-series)</t>
  </si>
  <si>
    <t>Embedded dashboards</t>
  </si>
  <si>
    <t>Link Analyzer</t>
  </si>
  <si>
    <t>gsc_issue</t>
  </si>
  <si>
    <t>Analyze a site's link profile</t>
  </si>
  <si>
    <t>OpenAI (ChatGPT)</t>
  </si>
  <si>
    <t>→ site — coverage/index issue</t>
  </si>
  <si>
    <t>Alt content/agent provider in AI hub</t>
  </si>
  <si>
    <t>Token cost — routed</t>
  </si>
  <si>
    <t>type/count/status</t>
  </si>
  <si>
    <t>Perplexity</t>
  </si>
  <si>
    <t>404/soft404/noindex/…</t>
  </si>
  <si>
    <t>Research/answer agent in AI hub</t>
  </si>
  <si>
    <t>competitor</t>
  </si>
  <si>
    <t>→ project; domain</t>
  </si>
  <si>
    <t>Google Gemini</t>
  </si>
  <si>
    <t>seo_plan</t>
  </si>
  <si>
    <t>Alt content/multimodal provider</t>
  </si>
  <si>
    <t>generated action plan</t>
  </si>
  <si>
    <t>Google PageSpeed Insights</t>
  </si>
  <si>
    <t>project_id/audit_run_id</t>
  </si>
  <si>
    <t>Speed + Core Web Vitals for audit</t>
  </si>
  <si>
    <t>Per-request; batch</t>
  </si>
  <si>
    <t>prioritized tasks → task</t>
  </si>
  <si>
    <t>Backlink Monitoring Tool</t>
  </si>
  <si>
    <t>Payment gateway (Stripe)</t>
  </si>
  <si>
    <t>Track active backlinks 24/7 (public)</t>
  </si>
  <si>
    <t>Wallet, add-funds, marketplace orders</t>
  </si>
  <si>
    <t>PCI via provider</t>
  </si>
  <si>
    <t>topical_map</t>
  </si>
  <si>
    <t>Dofollow/Nofollow Checker</t>
  </si>
  <si>
    <t>Verify link rel attributes</t>
  </si>
  <si>
    <t>from parent/child keywords</t>
  </si>
  <si>
    <t>Website Finder (extension)</t>
  </si>
  <si>
    <t>Find guest-post sites from Chrome</t>
  </si>
  <si>
    <t>topic_node</t>
  </si>
  <si>
    <t>Services Catalog</t>
  </si>
  <si>
    <t>pillar or cluster node</t>
  </si>
  <si>
    <t>Link Building, Guest Post, Digital PR, Niche Edits, Content, Brand Mentions, SEO Reseller</t>
  </si>
  <si>
    <t>topical_map_id/parent_id</t>
  </si>
  <si>
    <t>tree; keyword, intent, volume</t>
  </si>
  <si>
    <t>Listings &amp; Filters</t>
  </si>
  <si>
    <t>content_plan</t>
  </si>
  <si>
    <t>DA/DR/AS, traffic, CF/TF, spam, category, country, price</t>
  </si>
  <si>
    <t>pillar+cluster plan</t>
  </si>
  <si>
    <t>Cart &amp; Orders</t>
  </si>
  <si>
    <t>Guest post / link insertion orders, TAT, sample/report</t>
  </si>
  <si>
    <t>topical_map_id</t>
  </si>
  <si>
    <t>→ topical_map; internal-link map</t>
  </si>
  <si>
    <t>content_brief</t>
  </si>
  <si>
    <t>Wallet &amp; Balance</t>
  </si>
  <si>
    <t>content_plan_id/topic_node_id</t>
  </si>
  <si>
    <t>Add funds, balance, invoices, payouts</t>
  </si>
  <si>
    <t>brief per node → content_item</t>
  </si>
  <si>
    <t>org_id/project_id</t>
  </si>
  <si>
    <t>→ project (builder)</t>
  </si>
  <si>
    <t>schema/embed_code</t>
  </si>
  <si>
    <t>fields, validation, styling</t>
  </si>
  <si>
    <t>form_submission</t>
  </si>
  <si>
    <t>form_id</t>
  </si>
  <si>
    <t>→ form; payload → lead</t>
  </si>
  <si>
    <t>free_tool_lead</t>
  </si>
  <si>
    <t>captured via free tool</t>
  </si>
  <si>
    <t>tool/input/email</t>
  </si>
  <si>
    <t>domain-age/broken-link/… → lead</t>
  </si>
  <si>
    <t>service</t>
  </si>
  <si>
    <t>catalog: link building, guest post, PR…</t>
  </si>
  <si>
    <t>name/type/tags</t>
  </si>
  <si>
    <t>most-popular/premium/etc.</t>
  </si>
  <si>
    <t>marketplace_listing</t>
  </si>
  <si>
    <t>publisher inventory</t>
  </si>
  <si>
    <t>domain/category/lang</t>
  </si>
  <si>
    <t>da/dr/as/cf/tf/spam</t>
  </si>
  <si>
    <t>authority &amp; risk metrics</t>
  </si>
  <si>
    <t>org_traffic/ref_domains</t>
  </si>
  <si>
    <t>guest_post_price/link_ins_price</t>
  </si>
  <si>
    <t>link_type/link_validity/tat</t>
  </si>
  <si>
    <t>order terms</t>
  </si>
  <si>
    <t>order</t>
  </si>
  <si>
    <t>marketplace/service order</t>
  </si>
  <si>
    <t>listing_id/service_id</t>
  </si>
  <si>
    <t>what was ordered</t>
  </si>
  <si>
    <t>status/amount/tat_due</t>
  </si>
  <si>
    <t>cart→paid→in-progress→delivered</t>
  </si>
  <si>
    <t>→ backlink (on delivery)</t>
  </si>
  <si>
    <t>wallet</t>
  </si>
  <si>
    <t>→ organisation; balance</t>
  </si>
  <si>
    <t>wallet_txn</t>
  </si>
  <si>
    <t>wallet_id/type/amount</t>
  </si>
  <si>
    <t>add-funds/charge/payout/invoice</t>
  </si>
  <si>
    <t>Delivery Roadmap</t>
  </si>
  <si>
    <t>Phased plan. Edit the blue 'Weeks' cells; total is a live SUM. Phases 2 &amp; 3 can partly parallelize.</t>
  </si>
  <si>
    <t>Focus</t>
  </si>
  <si>
    <t>Key deliverables</t>
  </si>
  <si>
    <t>Squad</t>
  </si>
  <si>
    <t>Depends on</t>
  </si>
  <si>
    <t>Weeks</t>
  </si>
  <si>
    <t>0. Foundation</t>
  </si>
  <si>
    <t>Platform core</t>
  </si>
  <si>
    <t>Auth/RBAC, tenancy, projects, tasks, time, queue, CI/CD, observability</t>
  </si>
  <si>
    <t>1. SEO Core &amp; Audit</t>
  </si>
  <si>
    <t>Rank &amp; audit</t>
  </si>
  <si>
    <t>Rank tracker, crawl, multi-source audit (SF+Ahrefs+Semrush+PSI+GSC), checklist engine, SEO plan, reports</t>
  </si>
  <si>
    <t>Phase 0</t>
  </si>
  <si>
    <t>Automated SEO Audit Checklist</t>
  </si>
  <si>
    <t>2. Backlink CRM</t>
  </si>
  <si>
    <t>Differentiator</t>
  </si>
  <si>
    <t>Backlink DB, supplier CRM, live/removed verify, files, toxic, vault</t>
  </si>
  <si>
    <t>Backlink</t>
  </si>
  <si>
    <t>3. Local SEO</t>
  </si>
  <si>
    <t>Every check maps to a data source and runs automatically. Findings feed the SEO Action Plan. Built from the client checklists.</t>
  </si>
  <si>
    <t>GMB/GBP audit, category, review/post audit, geo-grid Teleport, Website↔GBP</t>
  </si>
  <si>
    <t>Phase 1</t>
  </si>
  <si>
    <t>4. AI Engine &amp; Studio</t>
  </si>
  <si>
    <t>AI + content</t>
  </si>
  <si>
    <t>Code</t>
  </si>
  <si>
    <t>Check</t>
  </si>
  <si>
    <t>Data source</t>
  </si>
  <si>
    <t>Auto</t>
  </si>
  <si>
    <t>Severity</t>
  </si>
  <si>
    <t>Fix owner</t>
  </si>
  <si>
    <t>AI provider hub, prompt library, skills, agent teams; content state machine + generators, topical map, content plan, image gen</t>
  </si>
  <si>
    <t>CHK-01</t>
  </si>
  <si>
    <t>5. Social &amp; Automation</t>
  </si>
  <si>
    <t>Publish</t>
  </si>
  <si>
    <t>Connectors, calendar, scheduler, bulk gen+schedule, alerts, report automation</t>
  </si>
  <si>
    <t>Growth</t>
  </si>
  <si>
    <t>Phase 4</t>
  </si>
  <si>
    <t>6. Leads, Marketplace &amp; Integrations</t>
  </si>
  <si>
    <t>Forms &amp; lead capture, attribution, HubSpot, Calendly, Teams, free tools, services &amp; backlink marketplace, wallet, white-label</t>
  </si>
  <si>
    <t>Indexation</t>
  </si>
  <si>
    <t>Important pages are indexed / not missing from index</t>
  </si>
  <si>
    <t>Sequential total (weeks)</t>
  </si>
  <si>
    <t>GSC + Screaming Frog</t>
  </si>
  <si>
    <t>Y</t>
  </si>
  <si>
    <t>High</t>
  </si>
  <si>
    <t>SEO Tech</t>
  </si>
  <si>
    <t>CHK-02</t>
  </si>
  <si>
    <t>Pricing Feature Matrix</t>
  </si>
  <si>
    <t>Pages indexed that shouldn't be (index bloat)</t>
  </si>
  <si>
    <t>With 2 squads in parallel (est.)</t>
  </si>
  <si>
    <t>GSC + Crawler</t>
  </si>
  <si>
    <t>Med</t>
  </si>
  <si>
    <t>Tier availability (from reference screenshots). ✔ included · limits shown · — not included.</t>
  </si>
  <si>
    <t>CHK-03</t>
  </si>
  <si>
    <t>Noindex on pages that should rank</t>
  </si>
  <si>
    <t>Essentials</t>
  </si>
  <si>
    <t>CHK-04</t>
  </si>
  <si>
    <t>Advanced</t>
  </si>
  <si>
    <t>Pages blocked by robots.txt that should be indexed</t>
  </si>
  <si>
    <t>GSC + robots parse</t>
  </si>
  <si>
    <t>Enterprise</t>
  </si>
  <si>
    <t>Web Dev</t>
  </si>
  <si>
    <t>CHK-05</t>
  </si>
  <si>
    <t>Companies / Contacts</t>
  </si>
  <si>
    <t>robots.txt exists and references sitemap</t>
  </si>
  <si>
    <t>robots parse</t>
  </si>
  <si>
    <t>Low</t>
  </si>
  <si>
    <t>Unlimited</t>
  </si>
  <si>
    <t>CHK-06</t>
  </si>
  <si>
    <t>XML &amp; HTML sitemaps exist and submitted to GSC</t>
  </si>
  <si>
    <t>CHK-07</t>
  </si>
  <si>
    <t>Sitemaps contain only valid, indexable URLs</t>
  </si>
  <si>
    <t>Crawler + Sitemap crawl</t>
  </si>
  <si>
    <t>✔</t>
  </si>
  <si>
    <t>CHK-08</t>
  </si>
  <si>
    <t>Soft 404 / error pages returning 200</t>
  </si>
  <si>
    <t>Roles &amp; Permissions</t>
  </si>
  <si>
    <t>CHK-09</t>
  </si>
  <si>
    <t>Staff Users</t>
  </si>
  <si>
    <t>Crawled / Discovered — currently not indexed</t>
  </si>
  <si>
    <t>GSC</t>
  </si>
  <si>
    <t>P</t>
  </si>
  <si>
    <t>CHK-10</t>
  </si>
  <si>
    <t>Crawlability</t>
  </si>
  <si>
    <t>Important content within ~4 clicks of home</t>
  </si>
  <si>
    <t>Activity Logs</t>
  </si>
  <si>
    <t>Crawler (depth)</t>
  </si>
  <si>
    <t>File Storage</t>
  </si>
  <si>
    <t>CHK-11</t>
  </si>
  <si>
    <t>1 GB</t>
  </si>
  <si>
    <t>10 GB</t>
  </si>
  <si>
    <t>Pages with &gt;300 outlinks</t>
  </si>
  <si>
    <t>Custom</t>
  </si>
  <si>
    <t>Crawler (outlinks)</t>
  </si>
  <si>
    <t>All Integrations (Google/Meta/Bing…)</t>
  </si>
  <si>
    <t>CHK-12</t>
  </si>
  <si>
    <t>Internal links to 4XX/5XX URLs</t>
  </si>
  <si>
    <t>Crawler</t>
  </si>
  <si>
    <t>Rank Tracker keywords</t>
  </si>
  <si>
    <t>250 / mo</t>
  </si>
  <si>
    <t>CHK-13</t>
  </si>
  <si>
    <t>500 / mo</t>
  </si>
  <si>
    <t>Orphan pages (no internal links in)</t>
  </si>
  <si>
    <t>Crawler (link graph)</t>
  </si>
  <si>
    <t>Local Rank Tracker credits</t>
  </si>
  <si>
    <t>CHK-14</t>
  </si>
  <si>
    <t>100 / mo</t>
  </si>
  <si>
    <t>Site reachable / not timing out / not down</t>
  </si>
  <si>
    <t>Crawler (status)</t>
  </si>
  <si>
    <t>SEO Audit pages</t>
  </si>
  <si>
    <t>5000 / mo</t>
  </si>
  <si>
    <t>CHK-15</t>
  </si>
  <si>
    <t>On-Page</t>
  </si>
  <si>
    <t>Missing page titles</t>
  </si>
  <si>
    <t>Audit frequency</t>
  </si>
  <si>
    <t>Real-time only</t>
  </si>
  <si>
    <t>Real-time + automated</t>
  </si>
  <si>
    <t>CHK-16</t>
  </si>
  <si>
    <t>Report export (Excel/PDF)</t>
  </si>
  <si>
    <t>Duplicate page titles</t>
  </si>
  <si>
    <t>Accounting (Xero/MYOB/QuickBooks)</t>
  </si>
  <si>
    <t>CHK-17</t>
  </si>
  <si>
    <t>Titles over ~60–65 characters</t>
  </si>
  <si>
    <t>Add-on</t>
  </si>
  <si>
    <t>CHK-18</t>
  </si>
  <si>
    <t>API Access</t>
  </si>
  <si>
    <t>Missing meta descriptions</t>
  </si>
  <si>
    <t>CHK-19</t>
  </si>
  <si>
    <t>Duplicate meta descriptions</t>
  </si>
  <si>
    <t>Projects / Tasks</t>
  </si>
  <si>
    <t>CHK-20</t>
  </si>
  <si>
    <t>Multiple assignee / filters / bulk</t>
  </si>
  <si>
    <t>Missing H1</t>
  </si>
  <si>
    <t>Kanban &amp; List views</t>
  </si>
  <si>
    <t>CHK-21</t>
  </si>
  <si>
    <t>Duplicate / multiple H1</t>
  </si>
  <si>
    <t>Looker Studio &amp; custom reporting</t>
  </si>
  <si>
    <t>CHK-22</t>
  </si>
  <si>
    <t>Heading hierarchy (H1/H2/H3) correct</t>
  </si>
  <si>
    <t>Schedule reports</t>
  </si>
  <si>
    <t>CHK-23</t>
  </si>
  <si>
    <t>Report branding (logo)</t>
  </si>
  <si>
    <t>Missing image ALT text</t>
  </si>
  <si>
    <t>Report white-label</t>
  </si>
  <si>
    <t>CHK-24</t>
  </si>
  <si>
    <t>SEO-friendly, clean URL structure</t>
  </si>
  <si>
    <t>Client user access</t>
  </si>
  <si>
    <t>CHK-25</t>
  </si>
  <si>
    <t>tel: / mailto: tags present where relevant</t>
  </si>
  <si>
    <t>Support: Email</t>
  </si>
  <si>
    <t>Support: Chat</t>
  </si>
  <si>
    <t>CHK-26</t>
  </si>
  <si>
    <t>Content</t>
  </si>
  <si>
    <t>Internal duplicate content</t>
  </si>
  <si>
    <t>Crawler (body hash)</t>
  </si>
  <si>
    <t>Onboarding training</t>
  </si>
  <si>
    <t>CHK-27</t>
  </si>
  <si>
    <t>Knowledge base / LMS / Zoom</t>
  </si>
  <si>
    <t>External duplicate / scraped content</t>
  </si>
  <si>
    <t>Semrush/Ahrefs + AI</t>
  </si>
  <si>
    <t>CHK-28</t>
  </si>
  <si>
    <t>Thin content pages</t>
  </si>
  <si>
    <t>Crawler + AI</t>
  </si>
  <si>
    <t>CHK-29</t>
  </si>
  <si>
    <t>Keyword cannibalisation</t>
  </si>
  <si>
    <t>Rankings + AI</t>
  </si>
  <si>
    <t>CHK-30</t>
  </si>
  <si>
    <t>Keyword density positive/negative</t>
  </si>
  <si>
    <t>CHK-31</t>
  </si>
  <si>
    <t>Technical</t>
  </si>
  <si>
    <t>HTTPS everywhere; no insecure pages w/ SSL</t>
  </si>
  <si>
    <t>CHK-32</t>
  </si>
  <si>
    <t>HTTP and HTTPS both serve (protocol dup)</t>
  </si>
  <si>
    <t>CHK-33</t>
  </si>
  <si>
    <t>Canonical tags present &amp; correct</t>
  </si>
  <si>
    <t>CHK-34</t>
  </si>
  <si>
    <t>Redirect chains / loops</t>
  </si>
  <si>
    <t>Crawler (reports)</t>
  </si>
  <si>
    <t>CHK-35</t>
  </si>
  <si>
    <t>Non-301 (302/307) / JS / meta-refresh redirects</t>
  </si>
  <si>
    <t>CHK-36</t>
  </si>
  <si>
    <t>Broken outbound links</t>
  </si>
  <si>
    <t>CHK-37</t>
  </si>
  <si>
    <t>404 errors</t>
  </si>
  <si>
    <t>Crawler + GSC</t>
  </si>
  <si>
    <t>CHK-38</t>
  </si>
  <si>
    <t>Intrusive interstitials / aggressive pop-ups</t>
  </si>
  <si>
    <t>Manual + AI</t>
  </si>
  <si>
    <t>UX</t>
  </si>
  <si>
    <t>CHK-39</t>
  </si>
  <si>
    <t>Rendering</t>
  </si>
  <si>
    <t>Content visible with JS rendering</t>
  </si>
  <si>
    <t>Crawler (render)</t>
  </si>
  <si>
    <t>CHK-40</t>
  </si>
  <si>
    <t>Crucial content not in iframe / Flash</t>
  </si>
  <si>
    <t>CHK-41</t>
  </si>
  <si>
    <t>Cache / rendering issues per URL</t>
  </si>
  <si>
    <t>Crawler + PSI</t>
  </si>
  <si>
    <t>CHK-42</t>
  </si>
  <si>
    <t>Speed &amp; CWV</t>
  </si>
  <si>
    <t>Loads under 3s (desktop &amp; mobile)</t>
  </si>
  <si>
    <t>PageSpeed Insights</t>
  </si>
  <si>
    <t>CHK-43</t>
  </si>
  <si>
    <t>Core Web Vitals: LCP / CLS / INP pass</t>
  </si>
  <si>
    <t>CHK-44</t>
  </si>
  <si>
    <t>GZIP / Brotli compression enabled</t>
  </si>
  <si>
    <t>PSI + Crawler</t>
  </si>
  <si>
    <t>CHK-45</t>
  </si>
  <si>
    <t>CSS / JS minified</t>
  </si>
  <si>
    <t>CHK-46</t>
  </si>
  <si>
    <t>Images compressed / next-gen formats</t>
  </si>
  <si>
    <t>PSI</t>
  </si>
  <si>
    <t>CHK-47</t>
  </si>
  <si>
    <t>Mobile</t>
  </si>
  <si>
    <t>Mobile-friendly / responsive on all devices</t>
  </si>
  <si>
    <t>CHK-48</t>
  </si>
  <si>
    <t>Legible fonts &amp; tappable targets</t>
  </si>
  <si>
    <t>CHK-49</t>
  </si>
  <si>
    <t>Mobile parity with desktop (links/content)</t>
  </si>
  <si>
    <t>Crawler (UA)</t>
  </si>
  <si>
    <t>Effort &amp; Cost Estimate</t>
  </si>
  <si>
    <t>CHK-50</t>
  </si>
  <si>
    <t>Structured Data</t>
  </si>
  <si>
    <t>Schema present on key templates</t>
  </si>
  <si>
    <t>Crawler + Rich Results</t>
  </si>
  <si>
    <t>CHK-51</t>
  </si>
  <si>
    <t>Schema errors / not spammy</t>
  </si>
  <si>
    <t>CHK-52</t>
  </si>
  <si>
    <t>EDIT the blue cells (weeks, devs, hrs/wk, blended rate). Everything else is a formula.</t>
  </si>
  <si>
    <t>International</t>
  </si>
  <si>
    <t>Assumptions</t>
  </si>
  <si>
    <t>hreflang implemented &amp; reciprocal</t>
  </si>
  <si>
    <t>CHK-53</t>
  </si>
  <si>
    <t>GSC international targeting set</t>
  </si>
  <si>
    <t>Hours / dev / week</t>
  </si>
  <si>
    <t>CHK-54</t>
  </si>
  <si>
    <t>Off-Page</t>
  </si>
  <si>
    <t>Backlink profile &amp; referring domains</t>
  </si>
  <si>
    <t>Ahrefs + Semrush</t>
  </si>
  <si>
    <t>CHK-55</t>
  </si>
  <si>
    <t>Toxic backlinks flagged</t>
  </si>
  <si>
    <t>Semrush + engine</t>
  </si>
  <si>
    <t>CHK-56</t>
  </si>
  <si>
    <t>Lost / removed links</t>
  </si>
  <si>
    <t>Ahrefs + Backlink CRM</t>
  </si>
  <si>
    <t>CHK-57</t>
  </si>
  <si>
    <t>Link intersect vs competitors (gaps)</t>
  </si>
  <si>
    <t>CHK-58</t>
  </si>
  <si>
    <t>Setup</t>
  </si>
  <si>
    <t>Analytics (GA4) installed</t>
  </si>
  <si>
    <t>Crawler + GA</t>
  </si>
  <si>
    <t>Blended rate (per hour)</t>
  </si>
  <si>
    <t>CHK-59</t>
  </si>
  <si>
    <t>Search Console verified &amp; connected</t>
  </si>
  <si>
    <t>CHK-60</t>
  </si>
  <si>
    <t>Social profiles linked on site</t>
  </si>
  <si>
    <t>CHK-61</t>
  </si>
  <si>
    <t>Google Map linked (contact/footer)</t>
  </si>
  <si>
    <t>CHK-62</t>
  </si>
  <si>
    <t>GBP complete &amp; NAP consistent with site</t>
  </si>
  <si>
    <t>GBP + Crawler</t>
  </si>
  <si>
    <t>Devs</t>
  </si>
  <si>
    <t>Auto: Y = fully automated via data source · P = partly automated / AI-assisted. Grades per run: Pass / Fail / Partial. Findings auto-generate the prioritized SEO Action Plan and tasks.</t>
  </si>
  <si>
    <t>Dev-weeks</t>
  </si>
  <si>
    <t>Hours</t>
  </si>
  <si>
    <t>Cost</t>
  </si>
  <si>
    <t>QA / DevOps / PM (overlay)</t>
  </si>
  <si>
    <t>TOTAL</t>
  </si>
  <si>
    <t>Contingency %</t>
  </si>
  <si>
    <t>GRAND TOTAL (incl. contingency)</t>
  </si>
  <si>
    <t>Note: rate is an illustrative placeholder — replace $B$6 with your actual blended rate. Estimate assumes overlapping phases with 2–3 squads; sequential calendar time is shorter than the sum of dev-weeks.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</si>
</sst>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17">
    <font>
      <sz val="11.0"/>
      <color theme="1"/>
      <name val="Calibri"/>
      <scheme val="minor"/>
    </font>
    <font>
      <b/>
      <sz val="16.0"/>
      <color rgb="FF12294B"/>
      <name val="Arial"/>
    </font>
    <font>
      <b/>
      <sz val="20.0"/>
      <color rgb="FF12294B"/>
      <name val="Arial"/>
    </font>
    <font>
      <i/>
      <sz val="10.0"/>
      <color rgb="FF5B6470"/>
      <name val="Arial"/>
    </font>
    <font>
      <i/>
      <sz val="11.0"/>
      <color rgb="FF5B6470"/>
      <name val="Arial"/>
    </font>
    <font>
      <b/>
      <sz val="10.0"/>
      <color rgb="FFFFFFFF"/>
      <name val="Arial"/>
    </font>
    <font>
      <b/>
      <sz val="10.0"/>
      <color rgb="FF1B1F27"/>
      <name val="Arial"/>
    </font>
    <font>
      <b/>
      <sz val="10.0"/>
      <color rgb="FF12294B"/>
      <name val="Arial"/>
    </font>
    <font>
      <sz val="10.0"/>
      <color rgb="FF1B1F27"/>
      <name val="Arial"/>
    </font>
    <font>
      <b/>
      <sz val="11.0"/>
      <color rgb="FF12294B"/>
      <name val="Arial"/>
    </font>
    <font>
      <b/>
      <sz val="10.0"/>
      <color rgb="FF0000FF"/>
      <name val="Arial"/>
    </font>
    <font>
      <b/>
      <sz val="9.0"/>
      <color rgb="FF1B1F27"/>
      <name val="Arial"/>
    </font>
    <font>
      <sz val="9.0"/>
      <color rgb="FF1B1F27"/>
      <name val="Arial"/>
    </font>
    <font>
      <b/>
      <sz val="11.0"/>
      <color rgb="FF0000FF"/>
      <name val="Arial"/>
    </font>
    <font>
      <i/>
      <sz val="9.0"/>
      <color rgb="FF5B6470"/>
      <name val="Arial"/>
    </font>
    <font>
      <sz val="11.0"/>
      <color theme="1"/>
      <name val="Calibri"/>
    </font>
    <font>
      <b/>
      <sz val="12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2294B"/>
        <bgColor rgb="FF12294B"/>
      </patternFill>
    </fill>
    <fill>
      <patternFill patternType="solid">
        <fgColor rgb="FFFFFFFF"/>
        <bgColor rgb="FFFFFFFF"/>
      </patternFill>
    </fill>
    <fill>
      <patternFill patternType="solid">
        <fgColor rgb="FFEEF3FA"/>
        <bgColor rgb="FFEEF3FA"/>
      </patternFill>
    </fill>
    <fill>
      <patternFill patternType="solid">
        <fgColor rgb="FFDCE9FF"/>
        <bgColor rgb="FFDCE9FF"/>
      </patternFill>
    </fill>
    <fill>
      <patternFill patternType="solid">
        <fgColor rgb="FFD7F2E3"/>
        <bgColor rgb="FFD7F2E3"/>
      </patternFill>
    </fill>
    <fill>
      <patternFill patternType="solid">
        <fgColor rgb="FFFCEBCF"/>
        <bgColor rgb="FFFCEBCF"/>
      </patternFill>
    </fill>
    <fill>
      <patternFill patternType="solid">
        <fgColor rgb="FFD4F1F2"/>
        <bgColor rgb="FFD4F1F2"/>
      </patternFill>
    </fill>
    <fill>
      <patternFill patternType="solid">
        <fgColor rgb="FFF6D8D5"/>
        <bgColor rgb="FFF6D8D5"/>
      </patternFill>
    </fill>
    <fill>
      <patternFill patternType="solid">
        <fgColor rgb="FFE9E4F5"/>
        <bgColor rgb="FFE9E4F5"/>
      </patternFill>
    </fill>
    <fill>
      <patternFill patternType="solid">
        <fgColor rgb="FFF7FAFF"/>
        <bgColor rgb="FFF7FAFF"/>
      </patternFill>
    </fill>
  </fills>
  <borders count="2">
    <border/>
    <border>
      <left style="thin">
        <color rgb="FFC9D4E3"/>
      </left>
      <right style="thin">
        <color rgb="FFC9D4E3"/>
      </right>
      <top style="thin">
        <color rgb="FFC9D4E3"/>
      </top>
      <bottom style="thin">
        <color rgb="FFC9D4E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ill="1" applyFont="1">
      <alignment shrinkToFit="0" vertical="center" wrapText="1"/>
    </xf>
    <xf borderId="1" fillId="3" fontId="8" numFmtId="0" xfId="0" applyAlignment="1" applyBorder="1" applyFill="1" applyFont="1">
      <alignment horizontal="left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ill="1" applyFont="1">
      <alignment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shrinkToFit="0" vertical="center" wrapText="1"/>
    </xf>
    <xf borderId="1" fillId="4" fontId="6" numFmtId="0" xfId="0" applyAlignment="1" applyBorder="1" applyFill="1" applyFont="1">
      <alignment horizontal="left" shrinkToFit="0" vertical="center" wrapText="1"/>
    </xf>
    <xf borderId="1" fillId="4" fontId="8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shrinkToFit="0" vertical="bottom" wrapText="0"/>
    </xf>
    <xf borderId="1" fillId="0" fontId="8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1" fillId="6" fontId="6" numFmtId="0" xfId="0" applyAlignment="1" applyBorder="1" applyFill="1" applyFont="1">
      <alignment shrinkToFit="0" vertical="center" wrapText="0"/>
    </xf>
    <xf borderId="1" fillId="7" fontId="8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shrinkToFit="0" vertical="center" wrapText="0"/>
    </xf>
    <xf borderId="1" fillId="8" fontId="8" numFmtId="0" xfId="0" applyAlignment="1" applyBorder="1" applyFill="1" applyFont="1">
      <alignment horizontal="center" shrinkToFit="0" vertical="center" wrapText="1"/>
    </xf>
    <xf borderId="1" fillId="9" fontId="6" numFmtId="0" xfId="0" applyAlignment="1" applyBorder="1" applyFill="1" applyFont="1">
      <alignment shrinkToFit="0" vertical="center" wrapText="0"/>
    </xf>
    <xf borderId="1" fillId="9" fontId="8" numFmtId="0" xfId="0" applyAlignment="1" applyBorder="1" applyFill="1" applyFont="1">
      <alignment horizontal="center" shrinkToFit="0" vertical="center" wrapText="1"/>
    </xf>
    <xf borderId="1" fillId="10" fontId="8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1" fillId="11" fontId="9" numFmtId="0" xfId="0" applyAlignment="1" applyBorder="1" applyFill="1" applyFont="1">
      <alignment horizontal="center"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3" fontId="6" numFmtId="0" xfId="0" applyAlignment="1" applyBorder="1" applyFill="1" applyFont="1">
      <alignment shrinkToFit="0" vertical="center" wrapText="1"/>
    </xf>
    <xf borderId="1" fillId="5" fontId="10" numFmtId="0" xfId="0" applyAlignment="1" applyBorder="1" applyFill="1" applyFont="1">
      <alignment horizontal="center" shrinkToFit="0" vertical="bottom" wrapText="0"/>
    </xf>
    <xf borderId="1" fillId="4" fontId="6" numFmtId="0" xfId="0" applyAlignment="1" applyBorder="1" applyFill="1" applyFont="1">
      <alignment shrinkToFit="0" vertical="center" wrapText="1"/>
    </xf>
    <xf borderId="1" fillId="3" fontId="11" numFmtId="0" xfId="0" applyAlignment="1" applyBorder="1" applyFill="1" applyFont="1">
      <alignment horizontal="center" shrinkToFit="0" vertical="center" wrapText="1"/>
    </xf>
    <xf borderId="1" fillId="3" fontId="12" numFmtId="0" xfId="0" applyAlignment="1" applyBorder="1" applyFill="1" applyFont="1">
      <alignment horizontal="left" shrinkToFit="0" vertical="center" wrapText="1"/>
    </xf>
    <xf borderId="1" fillId="6" fontId="12" numFmtId="0" xfId="0" applyAlignment="1" applyBorder="1" applyFill="1" applyFont="1">
      <alignment horizontal="center" shrinkToFit="0" vertical="center" wrapText="1"/>
    </xf>
    <xf borderId="1" fillId="9" fontId="12" numFmtId="0" xfId="0" applyAlignment="1" applyBorder="1" applyFill="1" applyFont="1">
      <alignment horizontal="center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1" fillId="4" fontId="12" numFmtId="0" xfId="0" applyAlignment="1" applyBorder="1" applyFill="1" applyFont="1">
      <alignment horizontal="left" shrinkToFit="0" vertical="center" wrapText="1"/>
    </xf>
    <xf borderId="1" fillId="7" fontId="1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shrinkToFit="0" vertical="center" wrapText="0"/>
    </xf>
    <xf borderId="1" fillId="5" fontId="13" numFmtId="0" xfId="0" applyAlignment="1" applyBorder="1" applyFill="1" applyFont="1">
      <alignment horizontal="center" shrinkToFit="0" vertical="bottom" wrapText="0"/>
    </xf>
    <xf borderId="1" fillId="5" fontId="13" numFmtId="164" xfId="0" applyAlignment="1" applyBorder="1" applyFill="1" applyFont="1" applyNumberFormat="1">
      <alignment horizontal="center" shrinkToFit="0" vertical="bottom" wrapText="0"/>
    </xf>
    <xf borderId="0" fillId="0" fontId="14" numFmtId="0" xfId="0" applyAlignment="1" applyFont="1">
      <alignment shrinkToFit="0" vertical="top" wrapText="1"/>
    </xf>
    <xf borderId="1" fillId="3" fontId="8" numFmtId="0" xfId="0" applyAlignment="1" applyBorder="1" applyFill="1" applyFont="1">
      <alignment horizontal="center" shrinkToFit="0" vertical="bottom" wrapText="0"/>
    </xf>
    <xf borderId="1" fillId="3" fontId="8" numFmtId="164" xfId="0" applyAlignment="1" applyBorder="1" applyFill="1" applyFont="1" applyNumberFormat="1">
      <alignment horizontal="right" shrinkToFit="0" vertical="bottom" wrapText="0"/>
    </xf>
    <xf borderId="1" fillId="4" fontId="8" numFmtId="0" xfId="0" applyAlignment="1" applyBorder="1" applyFill="1" applyFont="1">
      <alignment horizontal="center" shrinkToFit="0" vertical="bottom" wrapText="0"/>
    </xf>
    <xf borderId="1" fillId="4" fontId="8" numFmtId="164" xfId="0" applyAlignment="1" applyBorder="1" applyFill="1" applyFont="1" applyNumberFormat="1">
      <alignment horizontal="right" shrinkToFit="0" vertical="bottom" wrapText="0"/>
    </xf>
    <xf borderId="1" fillId="11" fontId="9" numFmtId="0" xfId="0" applyAlignment="1" applyBorder="1" applyFill="1" applyFont="1">
      <alignment shrinkToFit="0" vertical="bottom" wrapText="0"/>
    </xf>
    <xf borderId="1" fillId="11" fontId="15" numFmtId="0" xfId="0" applyAlignment="1" applyBorder="1" applyFill="1" applyFont="1">
      <alignment shrinkToFit="0" vertical="bottom" wrapText="0"/>
    </xf>
    <xf borderId="1" fillId="11" fontId="9" numFmtId="164" xfId="0" applyAlignment="1" applyBorder="1" applyFill="1" applyFont="1" applyNumberFormat="1">
      <alignment horizontal="right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5" fontId="13" numFmtId="9" xfId="0" applyAlignment="1" applyBorder="1" applyFill="1" applyFont="1" applyNumberFormat="1">
      <alignment horizontal="center"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2" fontId="16" numFmtId="164" xfId="0" applyAlignment="1" applyBorder="1" applyFill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92.0"/>
    <col customWidth="1" min="4" max="26" width="8.71"/>
  </cols>
  <sheetData>
    <row r="2">
      <c r="B2" s="2" t="s">
        <v>0</v>
      </c>
    </row>
    <row r="3">
      <c r="B3" s="4" t="s">
        <v>6</v>
      </c>
    </row>
    <row r="5" ht="25.5" customHeight="1">
      <c r="A5" s="6"/>
      <c r="B5" s="5" t="s">
        <v>18</v>
      </c>
      <c r="C5" s="5" t="s">
        <v>23</v>
      </c>
    </row>
    <row r="6" ht="30.0" customHeight="1">
      <c r="B6" s="8" t="s">
        <v>5</v>
      </c>
      <c r="C6" s="11" t="s">
        <v>31</v>
      </c>
    </row>
    <row r="7" ht="30.0" customHeight="1">
      <c r="B7" s="13" t="s">
        <v>1</v>
      </c>
      <c r="C7" s="15" t="s">
        <v>38</v>
      </c>
    </row>
    <row r="8" ht="30.0" customHeight="1">
      <c r="B8" s="8" t="s">
        <v>39</v>
      </c>
      <c r="C8" s="11" t="s">
        <v>41</v>
      </c>
    </row>
    <row r="9" ht="30.0" customHeight="1">
      <c r="B9" s="13" t="s">
        <v>42</v>
      </c>
      <c r="C9" s="15" t="s">
        <v>44</v>
      </c>
    </row>
    <row r="10" ht="30.0" customHeight="1">
      <c r="B10" s="8" t="s">
        <v>45</v>
      </c>
      <c r="C10" s="11" t="s">
        <v>46</v>
      </c>
    </row>
    <row r="11" ht="30.0" customHeight="1">
      <c r="B11" s="13" t="s">
        <v>47</v>
      </c>
      <c r="C11" s="15" t="s">
        <v>48</v>
      </c>
    </row>
    <row r="12" ht="30.0" customHeight="1">
      <c r="B12" s="8" t="s">
        <v>50</v>
      </c>
      <c r="C12" s="11" t="s">
        <v>53</v>
      </c>
    </row>
    <row r="13" ht="30.0" customHeight="1">
      <c r="B13" s="13" t="s">
        <v>54</v>
      </c>
      <c r="C13" s="15" t="s">
        <v>55</v>
      </c>
    </row>
    <row r="15">
      <c r="B15" s="19" t="s">
        <v>58</v>
      </c>
    </row>
    <row r="16">
      <c r="B16" s="21" t="s">
        <v>62</v>
      </c>
      <c r="C16" s="22" t="s">
        <v>75</v>
      </c>
    </row>
    <row r="17">
      <c r="B17" s="23" t="s">
        <v>81</v>
      </c>
      <c r="C17" s="22" t="s">
        <v>98</v>
      </c>
    </row>
    <row r="18">
      <c r="B18" s="25" t="s">
        <v>101</v>
      </c>
      <c r="C18" s="22" t="s">
        <v>102</v>
      </c>
    </row>
    <row r="19">
      <c r="B19" s="27" t="s">
        <v>106</v>
      </c>
      <c r="C19" s="22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C2"/>
    <mergeCell ref="B3:C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30.0"/>
    <col customWidth="1" min="4" max="4" width="48.0"/>
    <col customWidth="1" min="5" max="5" width="9.0"/>
    <col customWidth="1" min="6" max="6" width="11.0"/>
    <col customWidth="1" min="7" max="7" width="7.0"/>
    <col customWidth="1" min="8" max="26" width="8.71"/>
  </cols>
  <sheetData>
    <row r="1" ht="27.75" customHeight="1">
      <c r="A1" s="1" t="s">
        <v>5</v>
      </c>
    </row>
    <row r="2" ht="15.75" customHeight="1">
      <c r="A2" s="3" t="s">
        <v>9</v>
      </c>
    </row>
    <row r="4" ht="25.5" customHeight="1">
      <c r="A4" s="5" t="s">
        <v>10</v>
      </c>
      <c r="B4" s="5" t="s">
        <v>13</v>
      </c>
      <c r="C4" s="5" t="s">
        <v>15</v>
      </c>
      <c r="D4" s="5" t="s">
        <v>17</v>
      </c>
      <c r="E4" s="5" t="s">
        <v>19</v>
      </c>
      <c r="F4" s="5" t="s">
        <v>22</v>
      </c>
      <c r="G4" s="5" t="s">
        <v>25</v>
      </c>
    </row>
    <row r="5">
      <c r="A5" s="10">
        <v>1.0</v>
      </c>
      <c r="B5" s="9" t="s">
        <v>60</v>
      </c>
      <c r="C5" s="9" t="s">
        <v>65</v>
      </c>
      <c r="D5" s="9" t="s">
        <v>67</v>
      </c>
      <c r="E5" s="14" t="s">
        <v>71</v>
      </c>
      <c r="F5" s="10" t="s">
        <v>74</v>
      </c>
      <c r="G5" s="10" t="s">
        <v>77</v>
      </c>
    </row>
    <row r="6">
      <c r="A6" s="17">
        <v>2.0</v>
      </c>
      <c r="B6" s="18" t="s">
        <v>60</v>
      </c>
      <c r="C6" s="18" t="s">
        <v>89</v>
      </c>
      <c r="D6" s="18" t="s">
        <v>90</v>
      </c>
      <c r="E6" s="14" t="s">
        <v>71</v>
      </c>
      <c r="F6" s="17" t="s">
        <v>74</v>
      </c>
      <c r="G6" s="17" t="s">
        <v>77</v>
      </c>
    </row>
    <row r="7">
      <c r="A7" s="10">
        <v>3.0</v>
      </c>
      <c r="B7" s="9" t="s">
        <v>60</v>
      </c>
      <c r="C7" s="9" t="s">
        <v>95</v>
      </c>
      <c r="D7" s="9" t="s">
        <v>97</v>
      </c>
      <c r="E7" s="14" t="s">
        <v>71</v>
      </c>
      <c r="F7" s="10" t="s">
        <v>74</v>
      </c>
      <c r="G7" s="10" t="s">
        <v>77</v>
      </c>
    </row>
    <row r="8">
      <c r="A8" s="17">
        <v>4.0</v>
      </c>
      <c r="B8" s="18" t="s">
        <v>60</v>
      </c>
      <c r="C8" s="18" t="s">
        <v>99</v>
      </c>
      <c r="D8" s="18" t="s">
        <v>100</v>
      </c>
      <c r="E8" s="14" t="s">
        <v>71</v>
      </c>
      <c r="F8" s="17" t="s">
        <v>74</v>
      </c>
      <c r="G8" s="17" t="s">
        <v>77</v>
      </c>
    </row>
    <row r="9">
      <c r="A9" s="10">
        <v>5.0</v>
      </c>
      <c r="B9" s="9" t="s">
        <v>60</v>
      </c>
      <c r="C9" s="9" t="s">
        <v>103</v>
      </c>
      <c r="D9" s="9" t="s">
        <v>104</v>
      </c>
      <c r="E9" s="14" t="s">
        <v>71</v>
      </c>
      <c r="F9" s="10" t="s">
        <v>74</v>
      </c>
      <c r="G9" s="10" t="s">
        <v>77</v>
      </c>
    </row>
    <row r="10">
      <c r="A10" s="17">
        <v>6.0</v>
      </c>
      <c r="B10" s="18" t="s">
        <v>109</v>
      </c>
      <c r="C10" s="18" t="s">
        <v>111</v>
      </c>
      <c r="D10" s="18" t="s">
        <v>113</v>
      </c>
      <c r="E10" s="14" t="s">
        <v>71</v>
      </c>
      <c r="F10" s="17" t="s">
        <v>115</v>
      </c>
      <c r="G10" s="17" t="s">
        <v>117</v>
      </c>
    </row>
    <row r="11">
      <c r="A11" s="10">
        <v>7.0</v>
      </c>
      <c r="B11" s="9" t="s">
        <v>109</v>
      </c>
      <c r="C11" s="9" t="s">
        <v>73</v>
      </c>
      <c r="D11" s="9" t="s">
        <v>121</v>
      </c>
      <c r="E11" s="14" t="s">
        <v>71</v>
      </c>
      <c r="F11" s="10" t="s">
        <v>124</v>
      </c>
      <c r="G11" s="10" t="s">
        <v>117</v>
      </c>
    </row>
    <row r="12">
      <c r="A12" s="17">
        <v>8.0</v>
      </c>
      <c r="B12" s="18" t="s">
        <v>109</v>
      </c>
      <c r="C12" s="18" t="s">
        <v>130</v>
      </c>
      <c r="D12" s="18" t="s">
        <v>133</v>
      </c>
      <c r="E12" s="14" t="s">
        <v>71</v>
      </c>
      <c r="F12" s="17" t="s">
        <v>115</v>
      </c>
      <c r="G12" s="17" t="s">
        <v>117</v>
      </c>
    </row>
    <row r="13">
      <c r="A13" s="10">
        <v>9.0</v>
      </c>
      <c r="B13" s="9" t="s">
        <v>109</v>
      </c>
      <c r="C13" s="9" t="s">
        <v>145</v>
      </c>
      <c r="D13" s="9" t="s">
        <v>146</v>
      </c>
      <c r="E13" s="24" t="s">
        <v>150</v>
      </c>
      <c r="F13" s="10" t="s">
        <v>74</v>
      </c>
      <c r="G13" s="10" t="s">
        <v>152</v>
      </c>
    </row>
    <row r="14">
      <c r="A14" s="17">
        <v>10.0</v>
      </c>
      <c r="B14" s="18" t="s">
        <v>109</v>
      </c>
      <c r="C14" s="18" t="s">
        <v>155</v>
      </c>
      <c r="D14" s="18" t="s">
        <v>156</v>
      </c>
      <c r="E14" s="24" t="s">
        <v>150</v>
      </c>
      <c r="F14" s="17" t="s">
        <v>74</v>
      </c>
      <c r="G14" s="17" t="s">
        <v>152</v>
      </c>
    </row>
    <row r="15">
      <c r="A15" s="10">
        <v>11.0</v>
      </c>
      <c r="B15" s="9" t="s">
        <v>109</v>
      </c>
      <c r="C15" s="9" t="s">
        <v>163</v>
      </c>
      <c r="D15" s="9" t="s">
        <v>166</v>
      </c>
      <c r="E15" s="24" t="s">
        <v>150</v>
      </c>
      <c r="F15" s="10" t="s">
        <v>115</v>
      </c>
      <c r="G15" s="10" t="s">
        <v>117</v>
      </c>
    </row>
    <row r="16">
      <c r="A16" s="17">
        <v>12.0</v>
      </c>
      <c r="B16" s="18" t="s">
        <v>109</v>
      </c>
      <c r="C16" s="18" t="s">
        <v>173</v>
      </c>
      <c r="D16" s="18" t="s">
        <v>174</v>
      </c>
      <c r="E16" s="14" t="s">
        <v>71</v>
      </c>
      <c r="F16" s="17" t="s">
        <v>74</v>
      </c>
      <c r="G16" s="17" t="s">
        <v>117</v>
      </c>
    </row>
    <row r="17">
      <c r="A17" s="10">
        <v>13.0</v>
      </c>
      <c r="B17" s="9" t="s">
        <v>109</v>
      </c>
      <c r="C17" s="9" t="s">
        <v>182</v>
      </c>
      <c r="D17" s="9" t="s">
        <v>183</v>
      </c>
      <c r="E17" s="14" t="s">
        <v>71</v>
      </c>
      <c r="F17" s="10" t="s">
        <v>124</v>
      </c>
      <c r="G17" s="10" t="s">
        <v>152</v>
      </c>
    </row>
    <row r="18">
      <c r="A18" s="17">
        <v>14.0</v>
      </c>
      <c r="B18" s="18" t="s">
        <v>109</v>
      </c>
      <c r="C18" s="18" t="s">
        <v>190</v>
      </c>
      <c r="D18" s="18" t="s">
        <v>192</v>
      </c>
      <c r="E18" s="28" t="s">
        <v>196</v>
      </c>
      <c r="F18" s="17" t="s">
        <v>124</v>
      </c>
      <c r="G18" s="17" t="s">
        <v>209</v>
      </c>
    </row>
    <row r="19">
      <c r="A19" s="10">
        <v>15.0</v>
      </c>
      <c r="B19" s="9" t="s">
        <v>164</v>
      </c>
      <c r="C19" s="9" t="s">
        <v>213</v>
      </c>
      <c r="D19" s="9" t="s">
        <v>216</v>
      </c>
      <c r="E19" s="14" t="s">
        <v>71</v>
      </c>
      <c r="F19" s="10" t="s">
        <v>115</v>
      </c>
      <c r="G19" s="10" t="s">
        <v>222</v>
      </c>
    </row>
    <row r="20">
      <c r="A20" s="17">
        <v>16.0</v>
      </c>
      <c r="B20" s="18" t="s">
        <v>164</v>
      </c>
      <c r="C20" s="18" t="s">
        <v>226</v>
      </c>
      <c r="D20" s="18" t="s">
        <v>184</v>
      </c>
      <c r="E20" s="24" t="s">
        <v>150</v>
      </c>
      <c r="F20" s="17" t="s">
        <v>74</v>
      </c>
      <c r="G20" s="17" t="s">
        <v>222</v>
      </c>
    </row>
    <row r="21" ht="15.75" customHeight="1">
      <c r="A21" s="10">
        <v>17.0</v>
      </c>
      <c r="B21" s="9" t="s">
        <v>164</v>
      </c>
      <c r="C21" s="9" t="s">
        <v>237</v>
      </c>
      <c r="D21" s="9" t="s">
        <v>239</v>
      </c>
      <c r="E21" s="14" t="s">
        <v>71</v>
      </c>
      <c r="F21" s="10" t="s">
        <v>115</v>
      </c>
      <c r="G21" s="10" t="s">
        <v>222</v>
      </c>
    </row>
    <row r="22" ht="15.75" customHeight="1">
      <c r="A22" s="17">
        <v>18.0</v>
      </c>
      <c r="B22" s="18" t="s">
        <v>164</v>
      </c>
      <c r="C22" s="18" t="s">
        <v>247</v>
      </c>
      <c r="D22" s="18" t="s">
        <v>250</v>
      </c>
      <c r="E22" s="24" t="s">
        <v>150</v>
      </c>
      <c r="F22" s="17" t="s">
        <v>74</v>
      </c>
      <c r="G22" s="17" t="s">
        <v>222</v>
      </c>
    </row>
    <row r="23" ht="15.75" customHeight="1">
      <c r="A23" s="10">
        <v>19.0</v>
      </c>
      <c r="B23" s="9" t="s">
        <v>164</v>
      </c>
      <c r="C23" s="9" t="s">
        <v>256</v>
      </c>
      <c r="D23" s="9" t="s">
        <v>259</v>
      </c>
      <c r="E23" s="24" t="s">
        <v>150</v>
      </c>
      <c r="F23" s="10" t="s">
        <v>115</v>
      </c>
      <c r="G23" s="10" t="s">
        <v>222</v>
      </c>
    </row>
    <row r="24" ht="15.75" customHeight="1">
      <c r="A24" s="17">
        <v>20.0</v>
      </c>
      <c r="B24" s="18" t="s">
        <v>164</v>
      </c>
      <c r="C24" s="18" t="s">
        <v>265</v>
      </c>
      <c r="D24" s="18" t="s">
        <v>268</v>
      </c>
      <c r="E24" s="14" t="s">
        <v>71</v>
      </c>
      <c r="F24" s="17" t="s">
        <v>124</v>
      </c>
      <c r="G24" s="17" t="s">
        <v>222</v>
      </c>
    </row>
    <row r="25" ht="15.75" customHeight="1">
      <c r="A25" s="10">
        <v>21.0</v>
      </c>
      <c r="B25" s="9" t="s">
        <v>164</v>
      </c>
      <c r="C25" s="9" t="s">
        <v>278</v>
      </c>
      <c r="D25" s="9" t="s">
        <v>279</v>
      </c>
      <c r="E25" s="24" t="s">
        <v>150</v>
      </c>
      <c r="F25" s="10" t="s">
        <v>115</v>
      </c>
      <c r="G25" s="10" t="s">
        <v>222</v>
      </c>
    </row>
    <row r="26" ht="15.75" customHeight="1">
      <c r="A26" s="17">
        <v>22.0</v>
      </c>
      <c r="B26" s="18" t="s">
        <v>164</v>
      </c>
      <c r="C26" s="18" t="s">
        <v>291</v>
      </c>
      <c r="D26" s="18" t="s">
        <v>293</v>
      </c>
      <c r="E26" s="24" t="s">
        <v>150</v>
      </c>
      <c r="F26" s="17" t="s">
        <v>74</v>
      </c>
      <c r="G26" s="17" t="s">
        <v>222</v>
      </c>
    </row>
    <row r="27" ht="15.75" customHeight="1">
      <c r="A27" s="10">
        <v>23.0</v>
      </c>
      <c r="B27" s="9" t="s">
        <v>164</v>
      </c>
      <c r="C27" s="9" t="s">
        <v>300</v>
      </c>
      <c r="D27" s="9" t="s">
        <v>302</v>
      </c>
      <c r="E27" s="28" t="s">
        <v>196</v>
      </c>
      <c r="F27" s="10" t="s">
        <v>115</v>
      </c>
      <c r="G27" s="10" t="s">
        <v>209</v>
      </c>
    </row>
    <row r="28" ht="15.75" customHeight="1">
      <c r="A28" s="17">
        <v>24.0</v>
      </c>
      <c r="B28" s="18" t="s">
        <v>191</v>
      </c>
      <c r="C28" s="18" t="s">
        <v>312</v>
      </c>
      <c r="D28" s="18" t="s">
        <v>314</v>
      </c>
      <c r="E28" s="14" t="s">
        <v>71</v>
      </c>
      <c r="F28" s="17" t="s">
        <v>115</v>
      </c>
      <c r="G28" s="17" t="s">
        <v>318</v>
      </c>
    </row>
    <row r="29" ht="15.75" customHeight="1">
      <c r="A29" s="10">
        <v>25.0</v>
      </c>
      <c r="B29" s="9" t="s">
        <v>191</v>
      </c>
      <c r="C29" s="9" t="s">
        <v>324</v>
      </c>
      <c r="D29" s="9" t="s">
        <v>326</v>
      </c>
      <c r="E29" s="24" t="s">
        <v>150</v>
      </c>
      <c r="F29" s="10" t="s">
        <v>74</v>
      </c>
      <c r="G29" s="10" t="s">
        <v>318</v>
      </c>
    </row>
    <row r="30" ht="15.75" customHeight="1">
      <c r="A30" s="17">
        <v>26.0</v>
      </c>
      <c r="B30" s="18" t="s">
        <v>191</v>
      </c>
      <c r="C30" s="18" t="s">
        <v>336</v>
      </c>
      <c r="D30" s="18" t="s">
        <v>340</v>
      </c>
      <c r="E30" s="28" t="s">
        <v>196</v>
      </c>
      <c r="F30" s="17" t="s">
        <v>115</v>
      </c>
      <c r="G30" s="17" t="s">
        <v>318</v>
      </c>
    </row>
    <row r="31" ht="15.75" customHeight="1">
      <c r="A31" s="10">
        <v>27.0</v>
      </c>
      <c r="B31" s="9" t="s">
        <v>191</v>
      </c>
      <c r="C31" s="9" t="s">
        <v>347</v>
      </c>
      <c r="D31" s="9" t="s">
        <v>350</v>
      </c>
      <c r="E31" s="28" t="s">
        <v>196</v>
      </c>
      <c r="F31" s="10" t="s">
        <v>74</v>
      </c>
      <c r="G31" s="10" t="s">
        <v>318</v>
      </c>
    </row>
    <row r="32" ht="15.75" customHeight="1">
      <c r="A32" s="17">
        <v>28.0</v>
      </c>
      <c r="B32" s="18" t="s">
        <v>191</v>
      </c>
      <c r="C32" s="18" t="s">
        <v>359</v>
      </c>
      <c r="D32" s="18" t="s">
        <v>362</v>
      </c>
      <c r="E32" s="28" t="s">
        <v>196</v>
      </c>
      <c r="F32" s="17" t="s">
        <v>74</v>
      </c>
      <c r="G32" s="17" t="s">
        <v>318</v>
      </c>
    </row>
    <row r="33" ht="15.75" customHeight="1">
      <c r="A33" s="10">
        <v>29.0</v>
      </c>
      <c r="B33" s="9" t="s">
        <v>191</v>
      </c>
      <c r="C33" s="9" t="s">
        <v>372</v>
      </c>
      <c r="D33" s="9" t="s">
        <v>374</v>
      </c>
      <c r="E33" s="24" t="s">
        <v>150</v>
      </c>
      <c r="F33" s="10" t="s">
        <v>124</v>
      </c>
      <c r="G33" s="10" t="s">
        <v>318</v>
      </c>
    </row>
    <row r="34" ht="15.75" customHeight="1">
      <c r="A34" s="17">
        <v>30.0</v>
      </c>
      <c r="B34" s="18" t="s">
        <v>191</v>
      </c>
      <c r="C34" s="18" t="s">
        <v>386</v>
      </c>
      <c r="D34" s="18" t="s">
        <v>387</v>
      </c>
      <c r="E34" s="14" t="s">
        <v>71</v>
      </c>
      <c r="F34" s="17" t="s">
        <v>74</v>
      </c>
      <c r="G34" s="17" t="s">
        <v>318</v>
      </c>
    </row>
    <row r="35" ht="15.75" customHeight="1">
      <c r="A35" s="10">
        <v>31.0</v>
      </c>
      <c r="B35" s="9" t="s">
        <v>191</v>
      </c>
      <c r="C35" s="9" t="s">
        <v>398</v>
      </c>
      <c r="D35" s="9" t="s">
        <v>400</v>
      </c>
      <c r="E35" s="14" t="s">
        <v>71</v>
      </c>
      <c r="F35" s="10" t="s">
        <v>74</v>
      </c>
      <c r="G35" s="10" t="s">
        <v>318</v>
      </c>
    </row>
    <row r="36" ht="15.75" customHeight="1">
      <c r="A36" s="17">
        <v>32.0</v>
      </c>
      <c r="B36" s="18" t="s">
        <v>191</v>
      </c>
      <c r="C36" s="18" t="s">
        <v>410</v>
      </c>
      <c r="D36" s="18" t="s">
        <v>413</v>
      </c>
      <c r="E36" s="24" t="s">
        <v>150</v>
      </c>
      <c r="F36" s="17" t="s">
        <v>115</v>
      </c>
      <c r="G36" s="17" t="s">
        <v>318</v>
      </c>
    </row>
    <row r="37" ht="15.75" customHeight="1">
      <c r="A37" s="10">
        <v>33.0</v>
      </c>
      <c r="B37" s="9" t="s">
        <v>420</v>
      </c>
      <c r="C37" s="9" t="s">
        <v>421</v>
      </c>
      <c r="D37" s="9" t="s">
        <v>422</v>
      </c>
      <c r="E37" s="14" t="s">
        <v>71</v>
      </c>
      <c r="F37" s="10" t="s">
        <v>115</v>
      </c>
      <c r="G37" s="10" t="s">
        <v>425</v>
      </c>
    </row>
    <row r="38" ht="15.75" customHeight="1">
      <c r="A38" s="17">
        <v>34.0</v>
      </c>
      <c r="B38" s="18" t="s">
        <v>420</v>
      </c>
      <c r="C38" s="18" t="s">
        <v>428</v>
      </c>
      <c r="D38" s="18" t="s">
        <v>430</v>
      </c>
      <c r="E38" s="14" t="s">
        <v>71</v>
      </c>
      <c r="F38" s="17" t="s">
        <v>74</v>
      </c>
      <c r="G38" s="17" t="s">
        <v>425</v>
      </c>
    </row>
    <row r="39" ht="15.75" customHeight="1">
      <c r="A39" s="10">
        <v>35.0</v>
      </c>
      <c r="B39" s="9" t="s">
        <v>420</v>
      </c>
      <c r="C39" s="9" t="s">
        <v>434</v>
      </c>
      <c r="D39" s="9" t="s">
        <v>435</v>
      </c>
      <c r="E39" s="24" t="s">
        <v>150</v>
      </c>
      <c r="F39" s="10" t="s">
        <v>74</v>
      </c>
      <c r="G39" s="10" t="s">
        <v>425</v>
      </c>
    </row>
    <row r="40" ht="15.75" customHeight="1">
      <c r="A40" s="17">
        <v>36.0</v>
      </c>
      <c r="B40" s="18" t="s">
        <v>420</v>
      </c>
      <c r="C40" s="18" t="s">
        <v>440</v>
      </c>
      <c r="D40" s="18" t="s">
        <v>442</v>
      </c>
      <c r="E40" s="14" t="s">
        <v>71</v>
      </c>
      <c r="F40" s="17" t="s">
        <v>74</v>
      </c>
      <c r="G40" s="17" t="s">
        <v>425</v>
      </c>
    </row>
    <row r="41" ht="15.75" customHeight="1">
      <c r="A41" s="10">
        <v>37.0</v>
      </c>
      <c r="B41" s="9" t="s">
        <v>420</v>
      </c>
      <c r="C41" s="9" t="s">
        <v>444</v>
      </c>
      <c r="D41" s="9" t="s">
        <v>445</v>
      </c>
      <c r="E41" s="14" t="s">
        <v>71</v>
      </c>
      <c r="F41" s="10" t="s">
        <v>74</v>
      </c>
      <c r="G41" s="10" t="s">
        <v>425</v>
      </c>
    </row>
    <row r="42" ht="15.75" customHeight="1">
      <c r="A42" s="17">
        <v>38.0</v>
      </c>
      <c r="B42" s="18" t="s">
        <v>217</v>
      </c>
      <c r="C42" s="18" t="s">
        <v>451</v>
      </c>
      <c r="D42" s="18" t="s">
        <v>452</v>
      </c>
      <c r="E42" s="14" t="s">
        <v>71</v>
      </c>
      <c r="F42" s="17" t="s">
        <v>74</v>
      </c>
      <c r="G42" s="17" t="s">
        <v>425</v>
      </c>
    </row>
    <row r="43" ht="15.75" customHeight="1">
      <c r="A43" s="10">
        <v>39.0</v>
      </c>
      <c r="B43" s="9" t="s">
        <v>217</v>
      </c>
      <c r="C43" s="9" t="s">
        <v>456</v>
      </c>
      <c r="D43" s="9" t="s">
        <v>457</v>
      </c>
      <c r="E43" s="14" t="s">
        <v>71</v>
      </c>
      <c r="F43" s="10" t="s">
        <v>74</v>
      </c>
      <c r="G43" s="10" t="s">
        <v>425</v>
      </c>
    </row>
    <row r="44" ht="15.75" customHeight="1">
      <c r="A44" s="17">
        <v>40.0</v>
      </c>
      <c r="B44" s="18" t="s">
        <v>217</v>
      </c>
      <c r="C44" s="18" t="s">
        <v>459</v>
      </c>
      <c r="D44" s="18" t="s">
        <v>460</v>
      </c>
      <c r="E44" s="24" t="s">
        <v>150</v>
      </c>
      <c r="F44" s="17" t="s">
        <v>74</v>
      </c>
      <c r="G44" s="17" t="s">
        <v>425</v>
      </c>
    </row>
    <row r="45" ht="15.75" customHeight="1">
      <c r="A45" s="10">
        <v>41.0</v>
      </c>
      <c r="B45" s="9" t="s">
        <v>234</v>
      </c>
      <c r="C45" s="9" t="s">
        <v>465</v>
      </c>
      <c r="D45" s="9" t="s">
        <v>466</v>
      </c>
      <c r="E45" s="14" t="s">
        <v>71</v>
      </c>
      <c r="F45" s="10" t="s">
        <v>115</v>
      </c>
      <c r="G45" s="10" t="s">
        <v>209</v>
      </c>
    </row>
    <row r="46" ht="15.75" customHeight="1">
      <c r="A46" s="17">
        <v>42.0</v>
      </c>
      <c r="B46" s="18" t="s">
        <v>234</v>
      </c>
      <c r="C46" s="18" t="s">
        <v>470</v>
      </c>
      <c r="D46" s="18" t="s">
        <v>471</v>
      </c>
      <c r="E46" s="24" t="s">
        <v>150</v>
      </c>
      <c r="F46" s="17" t="s">
        <v>115</v>
      </c>
      <c r="G46" s="17" t="s">
        <v>209</v>
      </c>
    </row>
    <row r="47" ht="15.75" customHeight="1">
      <c r="A47" s="10">
        <v>43.0</v>
      </c>
      <c r="B47" s="9" t="s">
        <v>234</v>
      </c>
      <c r="C47" s="9" t="s">
        <v>476</v>
      </c>
      <c r="D47" s="9" t="s">
        <v>477</v>
      </c>
      <c r="E47" s="24" t="s">
        <v>150</v>
      </c>
      <c r="F47" s="10" t="s">
        <v>74</v>
      </c>
      <c r="G47" s="10" t="s">
        <v>209</v>
      </c>
    </row>
    <row r="48" ht="15.75" customHeight="1">
      <c r="A48" s="17">
        <v>44.0</v>
      </c>
      <c r="B48" s="18" t="s">
        <v>234</v>
      </c>
      <c r="C48" s="18" t="s">
        <v>481</v>
      </c>
      <c r="D48" s="18" t="s">
        <v>483</v>
      </c>
      <c r="E48" s="28" t="s">
        <v>196</v>
      </c>
      <c r="F48" s="17" t="s">
        <v>484</v>
      </c>
      <c r="G48" s="17" t="s">
        <v>209</v>
      </c>
    </row>
    <row r="49" ht="15.75" customHeight="1">
      <c r="A49" s="10">
        <v>45.0</v>
      </c>
      <c r="B49" s="9" t="s">
        <v>486</v>
      </c>
      <c r="C49" s="9" t="s">
        <v>487</v>
      </c>
      <c r="D49" s="9" t="s">
        <v>488</v>
      </c>
      <c r="E49" s="14" t="s">
        <v>71</v>
      </c>
      <c r="F49" s="10" t="s">
        <v>74</v>
      </c>
      <c r="G49" s="10" t="s">
        <v>77</v>
      </c>
    </row>
    <row r="50" ht="15.75" customHeight="1">
      <c r="A50" s="17">
        <v>46.0</v>
      </c>
      <c r="B50" s="18" t="s">
        <v>486</v>
      </c>
      <c r="C50" s="18" t="s">
        <v>491</v>
      </c>
      <c r="D50" s="18" t="s">
        <v>492</v>
      </c>
      <c r="E50" s="24" t="s">
        <v>150</v>
      </c>
      <c r="F50" s="17" t="s">
        <v>484</v>
      </c>
      <c r="G50" s="17" t="s">
        <v>209</v>
      </c>
    </row>
    <row r="51" ht="15.75" customHeight="1">
      <c r="A51" s="10">
        <v>47.0</v>
      </c>
      <c r="B51" s="9" t="s">
        <v>486</v>
      </c>
      <c r="C51" s="9" t="s">
        <v>495</v>
      </c>
      <c r="D51" s="9" t="s">
        <v>497</v>
      </c>
      <c r="E51" s="24" t="s">
        <v>150</v>
      </c>
      <c r="F51" s="10" t="s">
        <v>74</v>
      </c>
      <c r="G51" s="10" t="s">
        <v>209</v>
      </c>
    </row>
    <row r="52" ht="15.75" customHeight="1">
      <c r="A52" s="17">
        <v>48.0</v>
      </c>
      <c r="B52" s="18" t="s">
        <v>486</v>
      </c>
      <c r="C52" s="18" t="s">
        <v>500</v>
      </c>
      <c r="D52" s="18" t="s">
        <v>501</v>
      </c>
      <c r="E52" s="14" t="s">
        <v>71</v>
      </c>
      <c r="F52" s="17" t="s">
        <v>115</v>
      </c>
      <c r="G52" s="17" t="s">
        <v>152</v>
      </c>
    </row>
    <row r="53" ht="15.75" customHeight="1">
      <c r="A53" s="10">
        <v>49.0</v>
      </c>
      <c r="B53" s="9" t="s">
        <v>486</v>
      </c>
      <c r="C53" s="9" t="s">
        <v>505</v>
      </c>
      <c r="D53" s="9" t="s">
        <v>506</v>
      </c>
      <c r="E53" s="14" t="s">
        <v>71</v>
      </c>
      <c r="F53" s="10" t="s">
        <v>74</v>
      </c>
      <c r="G53" s="10" t="s">
        <v>117</v>
      </c>
    </row>
    <row r="54" ht="15.75" customHeight="1">
      <c r="A54" s="17">
        <v>50.0</v>
      </c>
      <c r="B54" s="18" t="s">
        <v>283</v>
      </c>
      <c r="C54" s="18" t="s">
        <v>511</v>
      </c>
      <c r="D54" s="18" t="s">
        <v>514</v>
      </c>
      <c r="E54" s="14" t="s">
        <v>71</v>
      </c>
      <c r="F54" s="17" t="s">
        <v>115</v>
      </c>
      <c r="G54" s="17" t="s">
        <v>318</v>
      </c>
    </row>
    <row r="55" ht="15.75" customHeight="1">
      <c r="A55" s="10">
        <v>51.0</v>
      </c>
      <c r="B55" s="9" t="s">
        <v>283</v>
      </c>
      <c r="C55" s="9" t="s">
        <v>519</v>
      </c>
      <c r="D55" s="9" t="s">
        <v>520</v>
      </c>
      <c r="E55" s="14" t="s">
        <v>71</v>
      </c>
      <c r="F55" s="10" t="s">
        <v>74</v>
      </c>
      <c r="G55" s="10" t="s">
        <v>318</v>
      </c>
    </row>
    <row r="56" ht="15.75" customHeight="1">
      <c r="A56" s="17">
        <v>52.0</v>
      </c>
      <c r="B56" s="18" t="s">
        <v>283</v>
      </c>
      <c r="C56" s="18" t="s">
        <v>525</v>
      </c>
      <c r="D56" s="18" t="s">
        <v>528</v>
      </c>
      <c r="E56" s="14" t="s">
        <v>71</v>
      </c>
      <c r="F56" s="17" t="s">
        <v>115</v>
      </c>
      <c r="G56" s="17" t="s">
        <v>318</v>
      </c>
    </row>
    <row r="57" ht="15.75" customHeight="1">
      <c r="A57" s="10">
        <v>53.0</v>
      </c>
      <c r="B57" s="9" t="s">
        <v>283</v>
      </c>
      <c r="C57" s="9" t="s">
        <v>532</v>
      </c>
      <c r="D57" s="9" t="s">
        <v>534</v>
      </c>
      <c r="E57" s="24" t="s">
        <v>150</v>
      </c>
      <c r="F57" s="10" t="s">
        <v>124</v>
      </c>
      <c r="G57" s="10" t="s">
        <v>318</v>
      </c>
    </row>
    <row r="58" ht="15.75" customHeight="1">
      <c r="A58" s="17">
        <v>54.0</v>
      </c>
      <c r="B58" s="18" t="s">
        <v>283</v>
      </c>
      <c r="C58" s="18" t="s">
        <v>540</v>
      </c>
      <c r="D58" s="18" t="s">
        <v>543</v>
      </c>
      <c r="E58" s="24" t="s">
        <v>150</v>
      </c>
      <c r="F58" s="17" t="s">
        <v>74</v>
      </c>
      <c r="G58" s="17" t="s">
        <v>318</v>
      </c>
    </row>
    <row r="59" ht="15.75" customHeight="1">
      <c r="A59" s="10">
        <v>55.0</v>
      </c>
      <c r="B59" s="9" t="s">
        <v>109</v>
      </c>
      <c r="C59" s="9" t="s">
        <v>322</v>
      </c>
      <c r="D59" s="9" t="s">
        <v>555</v>
      </c>
      <c r="E59" s="14" t="s">
        <v>71</v>
      </c>
      <c r="F59" s="10" t="s">
        <v>74</v>
      </c>
      <c r="G59" s="10" t="s">
        <v>117</v>
      </c>
    </row>
    <row r="60" ht="15.75" customHeight="1">
      <c r="A60" s="17">
        <v>56.0</v>
      </c>
      <c r="B60" s="18" t="s">
        <v>109</v>
      </c>
      <c r="C60" s="18" t="s">
        <v>563</v>
      </c>
      <c r="D60" s="18" t="s">
        <v>566</v>
      </c>
      <c r="E60" s="14" t="s">
        <v>71</v>
      </c>
      <c r="F60" s="17" t="s">
        <v>74</v>
      </c>
      <c r="G60" s="17" t="s">
        <v>117</v>
      </c>
    </row>
    <row r="61" ht="15.75" customHeight="1">
      <c r="A61" s="10">
        <v>57.0</v>
      </c>
      <c r="B61" s="9" t="s">
        <v>109</v>
      </c>
      <c r="C61" s="9" t="s">
        <v>572</v>
      </c>
      <c r="D61" s="9" t="s">
        <v>573</v>
      </c>
      <c r="E61" s="14" t="s">
        <v>71</v>
      </c>
      <c r="F61" s="10" t="s">
        <v>124</v>
      </c>
      <c r="G61" s="10" t="s">
        <v>117</v>
      </c>
    </row>
    <row r="62" ht="15.75" customHeight="1">
      <c r="A62" s="17">
        <v>58.0</v>
      </c>
      <c r="B62" s="18" t="s">
        <v>109</v>
      </c>
      <c r="C62" s="18" t="s">
        <v>578</v>
      </c>
      <c r="D62" s="18" t="s">
        <v>579</v>
      </c>
      <c r="E62" s="24" t="s">
        <v>150</v>
      </c>
      <c r="F62" s="17" t="s">
        <v>124</v>
      </c>
      <c r="G62" s="17" t="s">
        <v>117</v>
      </c>
    </row>
    <row r="63" ht="15.75" customHeight="1">
      <c r="A63" s="10">
        <v>59.0</v>
      </c>
      <c r="B63" s="9" t="s">
        <v>109</v>
      </c>
      <c r="C63" s="9" t="s">
        <v>585</v>
      </c>
      <c r="D63" s="9" t="s">
        <v>588</v>
      </c>
      <c r="E63" s="14" t="s">
        <v>71</v>
      </c>
      <c r="F63" s="10" t="s">
        <v>115</v>
      </c>
      <c r="G63" s="10" t="s">
        <v>117</v>
      </c>
    </row>
    <row r="64" ht="15.75" customHeight="1">
      <c r="A64" s="17">
        <v>60.0</v>
      </c>
      <c r="B64" s="18" t="s">
        <v>191</v>
      </c>
      <c r="C64" s="18" t="s">
        <v>594</v>
      </c>
      <c r="D64" s="18" t="s">
        <v>597</v>
      </c>
      <c r="E64" s="14" t="s">
        <v>71</v>
      </c>
      <c r="F64" s="17" t="s">
        <v>115</v>
      </c>
      <c r="G64" s="17" t="s">
        <v>318</v>
      </c>
    </row>
    <row r="65" ht="15.75" customHeight="1">
      <c r="A65" s="10">
        <v>61.0</v>
      </c>
      <c r="B65" s="9" t="s">
        <v>191</v>
      </c>
      <c r="C65" s="9" t="s">
        <v>601</v>
      </c>
      <c r="D65" s="9" t="s">
        <v>604</v>
      </c>
      <c r="E65" s="14" t="s">
        <v>71</v>
      </c>
      <c r="F65" s="10" t="s">
        <v>115</v>
      </c>
      <c r="G65" s="10" t="s">
        <v>318</v>
      </c>
    </row>
    <row r="66" ht="15.75" customHeight="1">
      <c r="A66" s="17">
        <v>62.0</v>
      </c>
      <c r="B66" s="18" t="s">
        <v>191</v>
      </c>
      <c r="C66" s="18" t="s">
        <v>609</v>
      </c>
      <c r="D66" s="18" t="s">
        <v>611</v>
      </c>
      <c r="E66" s="14" t="s">
        <v>71</v>
      </c>
      <c r="F66" s="17" t="s">
        <v>115</v>
      </c>
      <c r="G66" s="17" t="s">
        <v>318</v>
      </c>
    </row>
    <row r="67" ht="15.75" customHeight="1">
      <c r="A67" s="10">
        <v>63.0</v>
      </c>
      <c r="B67" s="9" t="s">
        <v>191</v>
      </c>
      <c r="C67" s="9" t="s">
        <v>617</v>
      </c>
      <c r="D67" s="9" t="s">
        <v>618</v>
      </c>
      <c r="E67" s="24" t="s">
        <v>150</v>
      </c>
      <c r="F67" s="10" t="s">
        <v>115</v>
      </c>
      <c r="G67" s="10" t="s">
        <v>209</v>
      </c>
    </row>
    <row r="68" ht="15.75" customHeight="1">
      <c r="A68" s="17">
        <v>64.0</v>
      </c>
      <c r="B68" s="18" t="s">
        <v>234</v>
      </c>
      <c r="C68" s="18" t="s">
        <v>625</v>
      </c>
      <c r="D68" s="18" t="s">
        <v>626</v>
      </c>
      <c r="E68" s="14" t="s">
        <v>71</v>
      </c>
      <c r="F68" s="17" t="s">
        <v>74</v>
      </c>
      <c r="G68" s="17" t="s">
        <v>209</v>
      </c>
    </row>
    <row r="69" ht="15.75" customHeight="1">
      <c r="A69" s="10">
        <v>65.0</v>
      </c>
      <c r="B69" s="9" t="s">
        <v>234</v>
      </c>
      <c r="C69" s="9" t="s">
        <v>630</v>
      </c>
      <c r="D69" s="9" t="s">
        <v>631</v>
      </c>
      <c r="E69" s="24" t="s">
        <v>150</v>
      </c>
      <c r="F69" s="10" t="s">
        <v>74</v>
      </c>
      <c r="G69" s="10" t="s">
        <v>209</v>
      </c>
    </row>
    <row r="70" ht="15.75" customHeight="1">
      <c r="A70" s="17">
        <v>66.0</v>
      </c>
      <c r="B70" s="18" t="s">
        <v>234</v>
      </c>
      <c r="C70" s="18" t="s">
        <v>637</v>
      </c>
      <c r="D70" s="18" t="s">
        <v>641</v>
      </c>
      <c r="E70" s="24" t="s">
        <v>150</v>
      </c>
      <c r="F70" s="17" t="s">
        <v>484</v>
      </c>
      <c r="G70" s="17" t="s">
        <v>209</v>
      </c>
    </row>
    <row r="71" ht="15.75" customHeight="1">
      <c r="A71" s="10">
        <v>67.0</v>
      </c>
      <c r="B71" s="9" t="s">
        <v>382</v>
      </c>
      <c r="C71" s="9" t="s">
        <v>648</v>
      </c>
      <c r="D71" s="9" t="s">
        <v>650</v>
      </c>
      <c r="E71" s="24" t="s">
        <v>150</v>
      </c>
      <c r="F71" s="10" t="s">
        <v>484</v>
      </c>
      <c r="G71" s="10" t="s">
        <v>209</v>
      </c>
    </row>
    <row r="72" ht="15.75" customHeight="1">
      <c r="A72" s="17">
        <v>68.0</v>
      </c>
      <c r="B72" s="18" t="s">
        <v>382</v>
      </c>
      <c r="C72" s="18" t="s">
        <v>660</v>
      </c>
      <c r="D72" s="18" t="s">
        <v>662</v>
      </c>
      <c r="E72" s="24" t="s">
        <v>150</v>
      </c>
      <c r="F72" s="17" t="s">
        <v>484</v>
      </c>
      <c r="G72" s="17" t="s">
        <v>209</v>
      </c>
    </row>
    <row r="73" ht="15.75" customHeight="1">
      <c r="A73" s="10">
        <v>69.0</v>
      </c>
      <c r="B73" s="9" t="s">
        <v>382</v>
      </c>
      <c r="C73" s="9" t="s">
        <v>667</v>
      </c>
      <c r="D73" s="9" t="s">
        <v>669</v>
      </c>
      <c r="E73" s="24" t="s">
        <v>150</v>
      </c>
      <c r="F73" s="10" t="s">
        <v>74</v>
      </c>
      <c r="G73" s="10" t="s">
        <v>209</v>
      </c>
    </row>
    <row r="74" ht="15.75" customHeight="1">
      <c r="A74" s="17">
        <v>70.0</v>
      </c>
      <c r="B74" s="18" t="s">
        <v>382</v>
      </c>
      <c r="C74" s="18" t="s">
        <v>689</v>
      </c>
      <c r="D74" s="18" t="s">
        <v>691</v>
      </c>
      <c r="E74" s="24" t="s">
        <v>150</v>
      </c>
      <c r="F74" s="17" t="s">
        <v>74</v>
      </c>
      <c r="G74" s="17" t="s">
        <v>209</v>
      </c>
    </row>
    <row r="75" ht="15.75" customHeight="1">
      <c r="A75" s="10">
        <v>71.0</v>
      </c>
      <c r="B75" s="9" t="s">
        <v>382</v>
      </c>
      <c r="C75" s="9" t="s">
        <v>695</v>
      </c>
      <c r="D75" s="9" t="s">
        <v>696</v>
      </c>
      <c r="E75" s="28" t="s">
        <v>196</v>
      </c>
      <c r="F75" s="10" t="s">
        <v>484</v>
      </c>
      <c r="G75" s="10" t="s">
        <v>209</v>
      </c>
    </row>
    <row r="76" ht="15.75" customHeight="1">
      <c r="A76" s="17">
        <v>72.0</v>
      </c>
      <c r="B76" s="18" t="s">
        <v>382</v>
      </c>
      <c r="C76" s="18" t="s">
        <v>698</v>
      </c>
      <c r="D76" s="18" t="s">
        <v>699</v>
      </c>
      <c r="E76" s="28" t="s">
        <v>196</v>
      </c>
      <c r="F76" s="17" t="s">
        <v>74</v>
      </c>
      <c r="G76" s="17" t="s">
        <v>209</v>
      </c>
    </row>
    <row r="77" ht="15.75" customHeight="1">
      <c r="A77" s="10">
        <v>73.0</v>
      </c>
      <c r="B77" s="9" t="s">
        <v>396</v>
      </c>
      <c r="C77" s="9" t="s">
        <v>701</v>
      </c>
      <c r="D77" s="9" t="s">
        <v>703</v>
      </c>
      <c r="E77" s="24" t="s">
        <v>150</v>
      </c>
      <c r="F77" s="10" t="s">
        <v>115</v>
      </c>
      <c r="G77" s="10" t="s">
        <v>209</v>
      </c>
    </row>
    <row r="78" ht="15.75" customHeight="1">
      <c r="A78" s="17">
        <v>74.0</v>
      </c>
      <c r="B78" s="18" t="s">
        <v>396</v>
      </c>
      <c r="C78" s="18" t="s">
        <v>706</v>
      </c>
      <c r="D78" s="18" t="s">
        <v>708</v>
      </c>
      <c r="E78" s="24" t="s">
        <v>150</v>
      </c>
      <c r="F78" s="17" t="s">
        <v>115</v>
      </c>
      <c r="G78" s="17" t="s">
        <v>209</v>
      </c>
    </row>
    <row r="79" ht="15.75" customHeight="1">
      <c r="A79" s="10">
        <v>75.0</v>
      </c>
      <c r="B79" s="9" t="s">
        <v>396</v>
      </c>
      <c r="C79" s="9" t="s">
        <v>710</v>
      </c>
      <c r="D79" s="9" t="s">
        <v>711</v>
      </c>
      <c r="E79" s="24" t="s">
        <v>150</v>
      </c>
      <c r="F79" s="10" t="s">
        <v>115</v>
      </c>
      <c r="G79" s="10" t="s">
        <v>209</v>
      </c>
    </row>
    <row r="80" ht="15.75" customHeight="1">
      <c r="A80" s="17">
        <v>76.0</v>
      </c>
      <c r="B80" s="18" t="s">
        <v>396</v>
      </c>
      <c r="C80" s="18" t="s">
        <v>715</v>
      </c>
      <c r="D80" s="18" t="s">
        <v>717</v>
      </c>
      <c r="E80" s="24" t="s">
        <v>150</v>
      </c>
      <c r="F80" s="17" t="s">
        <v>74</v>
      </c>
      <c r="G80" s="17" t="s">
        <v>209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80"/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34.0"/>
    <col customWidth="1" min="4" max="4" width="9.0"/>
    <col customWidth="1" min="5" max="5" width="8.0"/>
    <col customWidth="1" min="6" max="6" width="42.0"/>
    <col customWidth="1" min="7" max="26" width="8.71"/>
  </cols>
  <sheetData>
    <row r="1" ht="27.75" customHeight="1">
      <c r="A1" s="1" t="s">
        <v>1</v>
      </c>
    </row>
    <row r="2" ht="15.75" customHeight="1">
      <c r="A2" s="3" t="s">
        <v>3</v>
      </c>
    </row>
    <row r="4" ht="25.5" customHeight="1">
      <c r="A4" s="5" t="s">
        <v>8</v>
      </c>
      <c r="B4" s="5" t="s">
        <v>21</v>
      </c>
      <c r="C4" s="5" t="s">
        <v>24</v>
      </c>
      <c r="D4" s="5" t="s">
        <v>26</v>
      </c>
      <c r="E4" s="5" t="s">
        <v>27</v>
      </c>
      <c r="F4" s="5" t="s">
        <v>29</v>
      </c>
    </row>
    <row r="5">
      <c r="A5" s="10" t="s">
        <v>30</v>
      </c>
      <c r="B5" s="9" t="s">
        <v>34</v>
      </c>
      <c r="C5" s="9" t="s">
        <v>35</v>
      </c>
      <c r="D5" s="14" t="s">
        <v>36</v>
      </c>
      <c r="E5" s="10">
        <v>8.0</v>
      </c>
      <c r="F5" s="9" t="s">
        <v>40</v>
      </c>
    </row>
    <row r="6">
      <c r="A6" s="17" t="s">
        <v>43</v>
      </c>
      <c r="B6" s="18" t="s">
        <v>34</v>
      </c>
      <c r="C6" s="18" t="s">
        <v>49</v>
      </c>
      <c r="D6" s="14" t="s">
        <v>36</v>
      </c>
      <c r="E6" s="17">
        <v>5.0</v>
      </c>
      <c r="F6" s="18" t="s">
        <v>52</v>
      </c>
    </row>
    <row r="7">
      <c r="A7" s="10" t="s">
        <v>56</v>
      </c>
      <c r="B7" s="9" t="s">
        <v>34</v>
      </c>
      <c r="C7" s="9" t="s">
        <v>59</v>
      </c>
      <c r="D7" s="14" t="s">
        <v>36</v>
      </c>
      <c r="E7" s="10">
        <v>8.0</v>
      </c>
      <c r="F7" s="9" t="s">
        <v>61</v>
      </c>
    </row>
    <row r="8">
      <c r="A8" s="17" t="s">
        <v>63</v>
      </c>
      <c r="B8" s="18" t="s">
        <v>34</v>
      </c>
      <c r="C8" s="18" t="s">
        <v>64</v>
      </c>
      <c r="D8" s="14" t="s">
        <v>36</v>
      </c>
      <c r="E8" s="17">
        <v>8.0</v>
      </c>
      <c r="F8" s="18" t="s">
        <v>66</v>
      </c>
    </row>
    <row r="9">
      <c r="A9" s="10" t="s">
        <v>68</v>
      </c>
      <c r="B9" s="9" t="s">
        <v>34</v>
      </c>
      <c r="C9" s="9" t="s">
        <v>69</v>
      </c>
      <c r="D9" s="14" t="s">
        <v>36</v>
      </c>
      <c r="E9" s="10">
        <v>3.0</v>
      </c>
      <c r="F9" s="9" t="s">
        <v>70</v>
      </c>
    </row>
    <row r="10">
      <c r="A10" s="17" t="s">
        <v>72</v>
      </c>
      <c r="B10" s="18" t="s">
        <v>73</v>
      </c>
      <c r="C10" s="18" t="s">
        <v>76</v>
      </c>
      <c r="D10" s="14" t="s">
        <v>36</v>
      </c>
      <c r="E10" s="17">
        <v>13.0</v>
      </c>
      <c r="F10" s="18" t="s">
        <v>78</v>
      </c>
    </row>
    <row r="11">
      <c r="A11" s="10" t="s">
        <v>80</v>
      </c>
      <c r="B11" s="9" t="s">
        <v>73</v>
      </c>
      <c r="C11" s="9" t="s">
        <v>83</v>
      </c>
      <c r="D11" s="14" t="s">
        <v>36</v>
      </c>
      <c r="E11" s="10">
        <v>13.0</v>
      </c>
      <c r="F11" s="9" t="s">
        <v>85</v>
      </c>
    </row>
    <row r="12">
      <c r="A12" s="17" t="s">
        <v>86</v>
      </c>
      <c r="B12" s="18" t="s">
        <v>73</v>
      </c>
      <c r="C12" s="18" t="s">
        <v>87</v>
      </c>
      <c r="D12" s="14" t="s">
        <v>36</v>
      </c>
      <c r="E12" s="17">
        <v>5.0</v>
      </c>
      <c r="F12" s="18" t="s">
        <v>91</v>
      </c>
    </row>
    <row r="13">
      <c r="A13" s="10" t="s">
        <v>93</v>
      </c>
      <c r="B13" s="9" t="s">
        <v>73</v>
      </c>
      <c r="C13" s="9" t="s">
        <v>94</v>
      </c>
      <c r="D13" s="24" t="s">
        <v>96</v>
      </c>
      <c r="E13" s="10">
        <v>5.0</v>
      </c>
      <c r="F13" s="9" t="s">
        <v>105</v>
      </c>
    </row>
    <row r="14">
      <c r="A14" s="17" t="s">
        <v>107</v>
      </c>
      <c r="B14" s="18" t="s">
        <v>73</v>
      </c>
      <c r="C14" s="18" t="s">
        <v>108</v>
      </c>
      <c r="D14" s="14" t="s">
        <v>36</v>
      </c>
      <c r="E14" s="17">
        <v>5.0</v>
      </c>
      <c r="F14" s="18" t="s">
        <v>110</v>
      </c>
    </row>
    <row r="15">
      <c r="A15" s="10" t="s">
        <v>112</v>
      </c>
      <c r="B15" s="9" t="s">
        <v>111</v>
      </c>
      <c r="C15" s="9" t="s">
        <v>114</v>
      </c>
      <c r="D15" s="14" t="s">
        <v>36</v>
      </c>
      <c r="E15" s="10">
        <v>8.0</v>
      </c>
      <c r="F15" s="9" t="s">
        <v>116</v>
      </c>
    </row>
    <row r="16">
      <c r="A16" s="17" t="s">
        <v>118</v>
      </c>
      <c r="B16" s="18" t="s">
        <v>111</v>
      </c>
      <c r="C16" s="18" t="s">
        <v>119</v>
      </c>
      <c r="D16" s="24" t="s">
        <v>96</v>
      </c>
      <c r="E16" s="17">
        <v>5.0</v>
      </c>
      <c r="F16" s="18" t="s">
        <v>120</v>
      </c>
    </row>
    <row r="17">
      <c r="A17" s="10" t="s">
        <v>122</v>
      </c>
      <c r="B17" s="9" t="s">
        <v>123</v>
      </c>
      <c r="C17" s="9" t="s">
        <v>125</v>
      </c>
      <c r="D17" s="14" t="s">
        <v>36</v>
      </c>
      <c r="E17" s="10">
        <v>8.0</v>
      </c>
      <c r="F17" s="9" t="s">
        <v>127</v>
      </c>
    </row>
    <row r="18">
      <c r="A18" s="17" t="s">
        <v>128</v>
      </c>
      <c r="B18" s="18" t="s">
        <v>123</v>
      </c>
      <c r="C18" s="18" t="s">
        <v>131</v>
      </c>
      <c r="D18" s="14" t="s">
        <v>36</v>
      </c>
      <c r="E18" s="17">
        <v>8.0</v>
      </c>
      <c r="F18" s="18" t="s">
        <v>134</v>
      </c>
    </row>
    <row r="19">
      <c r="A19" s="10" t="s">
        <v>137</v>
      </c>
      <c r="B19" s="9" t="s">
        <v>123</v>
      </c>
      <c r="C19" s="9" t="s">
        <v>138</v>
      </c>
      <c r="D19" s="14" t="s">
        <v>36</v>
      </c>
      <c r="E19" s="10">
        <v>13.0</v>
      </c>
      <c r="F19" s="9" t="s">
        <v>140</v>
      </c>
    </row>
    <row r="20">
      <c r="A20" s="17" t="s">
        <v>142</v>
      </c>
      <c r="B20" s="18" t="s">
        <v>123</v>
      </c>
      <c r="C20" s="18" t="s">
        <v>144</v>
      </c>
      <c r="D20" s="14" t="s">
        <v>36</v>
      </c>
      <c r="E20" s="17">
        <v>8.0</v>
      </c>
      <c r="F20" s="18" t="s">
        <v>147</v>
      </c>
    </row>
    <row r="21" ht="15.75" customHeight="1">
      <c r="A21" s="10" t="s">
        <v>148</v>
      </c>
      <c r="B21" s="9" t="s">
        <v>123</v>
      </c>
      <c r="C21" s="9" t="s">
        <v>149</v>
      </c>
      <c r="D21" s="24" t="s">
        <v>96</v>
      </c>
      <c r="E21" s="10">
        <v>5.0</v>
      </c>
      <c r="F21" s="9" t="s">
        <v>151</v>
      </c>
    </row>
    <row r="22" ht="15.75" customHeight="1">
      <c r="A22" s="17" t="s">
        <v>153</v>
      </c>
      <c r="B22" s="18" t="s">
        <v>123</v>
      </c>
      <c r="C22" s="18" t="s">
        <v>154</v>
      </c>
      <c r="D22" s="14" t="s">
        <v>36</v>
      </c>
      <c r="E22" s="17">
        <v>8.0</v>
      </c>
      <c r="F22" s="18" t="s">
        <v>157</v>
      </c>
    </row>
    <row r="23" ht="15.75" customHeight="1">
      <c r="A23" s="10" t="s">
        <v>158</v>
      </c>
      <c r="B23" s="9" t="s">
        <v>123</v>
      </c>
      <c r="C23" s="9" t="s">
        <v>160</v>
      </c>
      <c r="D23" s="14" t="s">
        <v>36</v>
      </c>
      <c r="E23" s="10">
        <v>5.0</v>
      </c>
      <c r="F23" s="9" t="s">
        <v>161</v>
      </c>
    </row>
    <row r="24" ht="15.75" customHeight="1">
      <c r="A24" s="17" t="s">
        <v>162</v>
      </c>
      <c r="B24" s="18" t="s">
        <v>164</v>
      </c>
      <c r="C24" s="18" t="s">
        <v>165</v>
      </c>
      <c r="D24" s="14" t="s">
        <v>36</v>
      </c>
      <c r="E24" s="17">
        <v>13.0</v>
      </c>
      <c r="F24" s="18" t="s">
        <v>167</v>
      </c>
    </row>
    <row r="25" ht="15.75" customHeight="1">
      <c r="A25" s="10" t="s">
        <v>169</v>
      </c>
      <c r="B25" s="9" t="s">
        <v>164</v>
      </c>
      <c r="C25" s="9" t="s">
        <v>170</v>
      </c>
      <c r="D25" s="14" t="s">
        <v>36</v>
      </c>
      <c r="E25" s="10">
        <v>8.0</v>
      </c>
      <c r="F25" s="9" t="s">
        <v>172</v>
      </c>
    </row>
    <row r="26" ht="15.75" customHeight="1">
      <c r="A26" s="17" t="s">
        <v>175</v>
      </c>
      <c r="B26" s="18" t="s">
        <v>164</v>
      </c>
      <c r="C26" s="18" t="s">
        <v>177</v>
      </c>
      <c r="D26" s="14" t="s">
        <v>36</v>
      </c>
      <c r="E26" s="17">
        <v>8.0</v>
      </c>
      <c r="F26" s="18" t="s">
        <v>179</v>
      </c>
    </row>
    <row r="27" ht="15.75" customHeight="1">
      <c r="A27" s="10" t="s">
        <v>180</v>
      </c>
      <c r="B27" s="9" t="s">
        <v>164</v>
      </c>
      <c r="C27" s="9" t="s">
        <v>181</v>
      </c>
      <c r="D27" s="24" t="s">
        <v>96</v>
      </c>
      <c r="E27" s="10">
        <v>5.0</v>
      </c>
      <c r="F27" s="9" t="s">
        <v>184</v>
      </c>
    </row>
    <row r="28" ht="15.75" customHeight="1">
      <c r="A28" s="17" t="s">
        <v>185</v>
      </c>
      <c r="B28" s="18" t="s">
        <v>164</v>
      </c>
      <c r="C28" s="18" t="s">
        <v>186</v>
      </c>
      <c r="D28" s="24" t="s">
        <v>96</v>
      </c>
      <c r="E28" s="17">
        <v>5.0</v>
      </c>
      <c r="F28" s="18" t="s">
        <v>187</v>
      </c>
    </row>
    <row r="29" ht="15.75" customHeight="1">
      <c r="A29" s="10" t="s">
        <v>189</v>
      </c>
      <c r="B29" s="9" t="s">
        <v>191</v>
      </c>
      <c r="C29" s="9" t="s">
        <v>193</v>
      </c>
      <c r="D29" s="14" t="s">
        <v>36</v>
      </c>
      <c r="E29" s="10">
        <v>8.0</v>
      </c>
      <c r="F29" s="9" t="s">
        <v>195</v>
      </c>
    </row>
    <row r="30" ht="15.75" customHeight="1">
      <c r="A30" s="17" t="s">
        <v>198</v>
      </c>
      <c r="B30" s="18" t="s">
        <v>191</v>
      </c>
      <c r="C30" s="18" t="s">
        <v>199</v>
      </c>
      <c r="D30" s="14" t="s">
        <v>36</v>
      </c>
      <c r="E30" s="17">
        <v>13.0</v>
      </c>
      <c r="F30" s="18" t="s">
        <v>202</v>
      </c>
    </row>
    <row r="31" ht="15.75" customHeight="1">
      <c r="A31" s="10" t="s">
        <v>203</v>
      </c>
      <c r="B31" s="9" t="s">
        <v>191</v>
      </c>
      <c r="C31" s="9" t="s">
        <v>205</v>
      </c>
      <c r="D31" s="24" t="s">
        <v>96</v>
      </c>
      <c r="E31" s="10">
        <v>8.0</v>
      </c>
      <c r="F31" s="9" t="s">
        <v>207</v>
      </c>
    </row>
    <row r="32" ht="15.75" customHeight="1">
      <c r="A32" s="17" t="s">
        <v>210</v>
      </c>
      <c r="B32" s="18" t="s">
        <v>191</v>
      </c>
      <c r="C32" s="18" t="s">
        <v>211</v>
      </c>
      <c r="D32" s="14" t="s">
        <v>36</v>
      </c>
      <c r="E32" s="17">
        <v>5.0</v>
      </c>
      <c r="F32" s="18" t="s">
        <v>212</v>
      </c>
    </row>
    <row r="33" ht="15.75" customHeight="1">
      <c r="A33" s="10" t="s">
        <v>215</v>
      </c>
      <c r="B33" s="9" t="s">
        <v>217</v>
      </c>
      <c r="C33" s="9" t="s">
        <v>218</v>
      </c>
      <c r="D33" s="14" t="s">
        <v>36</v>
      </c>
      <c r="E33" s="10">
        <v>13.0</v>
      </c>
      <c r="F33" s="9" t="s">
        <v>221</v>
      </c>
    </row>
    <row r="34" ht="15.75" customHeight="1">
      <c r="A34" s="17" t="s">
        <v>223</v>
      </c>
      <c r="B34" s="18" t="s">
        <v>217</v>
      </c>
      <c r="C34" s="18" t="s">
        <v>225</v>
      </c>
      <c r="D34" s="14" t="s">
        <v>36</v>
      </c>
      <c r="E34" s="17">
        <v>8.0</v>
      </c>
      <c r="F34" s="18" t="s">
        <v>227</v>
      </c>
    </row>
    <row r="35" ht="15.75" customHeight="1">
      <c r="A35" s="10" t="s">
        <v>228</v>
      </c>
      <c r="B35" s="9" t="s">
        <v>217</v>
      </c>
      <c r="C35" s="9" t="s">
        <v>230</v>
      </c>
      <c r="D35" s="24" t="s">
        <v>96</v>
      </c>
      <c r="E35" s="10">
        <v>5.0</v>
      </c>
      <c r="F35" s="9" t="s">
        <v>232</v>
      </c>
    </row>
    <row r="36" ht="15.75" customHeight="1">
      <c r="A36" s="17" t="s">
        <v>233</v>
      </c>
      <c r="B36" s="18" t="s">
        <v>234</v>
      </c>
      <c r="C36" s="18" t="s">
        <v>236</v>
      </c>
      <c r="D36" s="14" t="s">
        <v>36</v>
      </c>
      <c r="E36" s="17">
        <v>8.0</v>
      </c>
      <c r="F36" s="18" t="s">
        <v>240</v>
      </c>
    </row>
    <row r="37" ht="15.75" customHeight="1">
      <c r="A37" s="10" t="s">
        <v>242</v>
      </c>
      <c r="B37" s="9" t="s">
        <v>234</v>
      </c>
      <c r="C37" s="9" t="s">
        <v>244</v>
      </c>
      <c r="D37" s="24" t="s">
        <v>96</v>
      </c>
      <c r="E37" s="10">
        <v>5.0</v>
      </c>
      <c r="F37" s="9" t="s">
        <v>245</v>
      </c>
    </row>
    <row r="38" ht="15.75" customHeight="1">
      <c r="A38" s="17" t="s">
        <v>246</v>
      </c>
      <c r="B38" s="18" t="s">
        <v>234</v>
      </c>
      <c r="C38" s="18" t="s">
        <v>249</v>
      </c>
      <c r="D38" s="24" t="s">
        <v>96</v>
      </c>
      <c r="E38" s="17">
        <v>8.0</v>
      </c>
      <c r="F38" s="18" t="s">
        <v>252</v>
      </c>
    </row>
    <row r="39" ht="15.75" customHeight="1">
      <c r="A39" s="10" t="s">
        <v>254</v>
      </c>
      <c r="B39" s="9" t="s">
        <v>234</v>
      </c>
      <c r="C39" s="9" t="s">
        <v>255</v>
      </c>
      <c r="D39" s="29" t="s">
        <v>258</v>
      </c>
      <c r="E39" s="10">
        <v>3.0</v>
      </c>
      <c r="F39" s="9" t="s">
        <v>263</v>
      </c>
    </row>
    <row r="40" ht="15.75" customHeight="1">
      <c r="A40" s="17" t="s">
        <v>264</v>
      </c>
      <c r="B40" s="18" t="s">
        <v>266</v>
      </c>
      <c r="C40" s="18" t="s">
        <v>267</v>
      </c>
      <c r="D40" s="24" t="s">
        <v>96</v>
      </c>
      <c r="E40" s="17">
        <v>8.0</v>
      </c>
      <c r="F40" s="18" t="s">
        <v>269</v>
      </c>
    </row>
    <row r="41" ht="15.75" customHeight="1">
      <c r="A41" s="10" t="s">
        <v>271</v>
      </c>
      <c r="B41" s="9" t="s">
        <v>272</v>
      </c>
      <c r="C41" s="9" t="s">
        <v>273</v>
      </c>
      <c r="D41" s="24" t="s">
        <v>96</v>
      </c>
      <c r="E41" s="10">
        <v>3.0</v>
      </c>
      <c r="F41" s="9" t="s">
        <v>275</v>
      </c>
    </row>
    <row r="42" ht="15.75" customHeight="1">
      <c r="A42" s="17" t="s">
        <v>276</v>
      </c>
      <c r="B42" s="18" t="s">
        <v>272</v>
      </c>
      <c r="C42" s="18" t="s">
        <v>277</v>
      </c>
      <c r="D42" s="29" t="s">
        <v>258</v>
      </c>
      <c r="E42" s="17">
        <v>8.0</v>
      </c>
      <c r="F42" s="18" t="s">
        <v>280</v>
      </c>
    </row>
    <row r="43" ht="15.75" customHeight="1">
      <c r="A43" s="10" t="s">
        <v>282</v>
      </c>
      <c r="B43" s="9" t="s">
        <v>283</v>
      </c>
      <c r="C43" s="9" t="s">
        <v>285</v>
      </c>
      <c r="D43" s="14" t="s">
        <v>36</v>
      </c>
      <c r="E43" s="10">
        <v>13.0</v>
      </c>
      <c r="F43" s="9" t="s">
        <v>286</v>
      </c>
    </row>
    <row r="44" ht="15.75" customHeight="1">
      <c r="A44" s="17" t="s">
        <v>288</v>
      </c>
      <c r="B44" s="18" t="s">
        <v>283</v>
      </c>
      <c r="C44" s="18" t="s">
        <v>289</v>
      </c>
      <c r="D44" s="14" t="s">
        <v>36</v>
      </c>
      <c r="E44" s="17">
        <v>8.0</v>
      </c>
      <c r="F44" s="18" t="s">
        <v>292</v>
      </c>
    </row>
    <row r="45" ht="15.75" customHeight="1">
      <c r="A45" s="10" t="s">
        <v>294</v>
      </c>
      <c r="B45" s="9" t="s">
        <v>283</v>
      </c>
      <c r="C45" s="9" t="s">
        <v>295</v>
      </c>
      <c r="D45" s="14" t="s">
        <v>36</v>
      </c>
      <c r="E45" s="10">
        <v>13.0</v>
      </c>
      <c r="F45" s="9" t="s">
        <v>296</v>
      </c>
    </row>
    <row r="46" ht="15.75" customHeight="1">
      <c r="A46" s="17" t="s">
        <v>297</v>
      </c>
      <c r="B46" s="18" t="s">
        <v>283</v>
      </c>
      <c r="C46" s="18" t="s">
        <v>298</v>
      </c>
      <c r="D46" s="24" t="s">
        <v>96</v>
      </c>
      <c r="E46" s="17">
        <v>13.0</v>
      </c>
      <c r="F46" s="18" t="s">
        <v>301</v>
      </c>
    </row>
    <row r="47" ht="15.75" customHeight="1">
      <c r="A47" s="10" t="s">
        <v>303</v>
      </c>
      <c r="B47" s="9" t="s">
        <v>283</v>
      </c>
      <c r="C47" s="9" t="s">
        <v>305</v>
      </c>
      <c r="D47" s="24" t="s">
        <v>96</v>
      </c>
      <c r="E47" s="10">
        <v>5.0</v>
      </c>
      <c r="F47" s="9" t="s">
        <v>306</v>
      </c>
    </row>
    <row r="48" ht="15.75" customHeight="1">
      <c r="A48" s="17" t="s">
        <v>308</v>
      </c>
      <c r="B48" s="18" t="s">
        <v>309</v>
      </c>
      <c r="C48" s="18" t="s">
        <v>310</v>
      </c>
      <c r="D48" s="14" t="s">
        <v>36</v>
      </c>
      <c r="E48" s="17">
        <v>13.0</v>
      </c>
      <c r="F48" s="18" t="s">
        <v>313</v>
      </c>
    </row>
    <row r="49" ht="15.75" customHeight="1">
      <c r="A49" s="10" t="s">
        <v>315</v>
      </c>
      <c r="B49" s="9" t="s">
        <v>309</v>
      </c>
      <c r="C49" s="9" t="s">
        <v>317</v>
      </c>
      <c r="D49" s="14" t="s">
        <v>36</v>
      </c>
      <c r="E49" s="10">
        <v>13.0</v>
      </c>
      <c r="F49" s="9" t="s">
        <v>319</v>
      </c>
    </row>
    <row r="50" ht="15.75" customHeight="1">
      <c r="A50" s="17" t="s">
        <v>321</v>
      </c>
      <c r="B50" s="18" t="s">
        <v>309</v>
      </c>
      <c r="C50" s="18" t="s">
        <v>322</v>
      </c>
      <c r="D50" s="14" t="s">
        <v>36</v>
      </c>
      <c r="E50" s="17">
        <v>8.0</v>
      </c>
      <c r="F50" s="18" t="s">
        <v>325</v>
      </c>
    </row>
    <row r="51" ht="15.75" customHeight="1">
      <c r="A51" s="10" t="s">
        <v>327</v>
      </c>
      <c r="B51" s="9" t="s">
        <v>309</v>
      </c>
      <c r="C51" s="9" t="s">
        <v>329</v>
      </c>
      <c r="D51" s="14" t="s">
        <v>36</v>
      </c>
      <c r="E51" s="10">
        <v>5.0</v>
      </c>
      <c r="F51" s="9" t="s">
        <v>330</v>
      </c>
    </row>
    <row r="52" ht="15.75" customHeight="1">
      <c r="A52" s="17" t="s">
        <v>331</v>
      </c>
      <c r="B52" s="18" t="s">
        <v>309</v>
      </c>
      <c r="C52" s="18" t="s">
        <v>333</v>
      </c>
      <c r="D52" s="24" t="s">
        <v>96</v>
      </c>
      <c r="E52" s="17">
        <v>13.0</v>
      </c>
      <c r="F52" s="18" t="s">
        <v>335</v>
      </c>
    </row>
    <row r="53" ht="15.75" customHeight="1">
      <c r="A53" s="10" t="s">
        <v>337</v>
      </c>
      <c r="B53" s="9" t="s">
        <v>309</v>
      </c>
      <c r="C53" s="9" t="s">
        <v>339</v>
      </c>
      <c r="D53" s="14" t="s">
        <v>36</v>
      </c>
      <c r="E53" s="10">
        <v>8.0</v>
      </c>
      <c r="F53" s="9" t="s">
        <v>341</v>
      </c>
    </row>
    <row r="54" ht="15.75" customHeight="1">
      <c r="A54" s="17" t="s">
        <v>342</v>
      </c>
      <c r="B54" s="18" t="s">
        <v>343</v>
      </c>
      <c r="C54" s="18" t="s">
        <v>344</v>
      </c>
      <c r="D54" s="14" t="s">
        <v>36</v>
      </c>
      <c r="E54" s="17">
        <v>8.0</v>
      </c>
      <c r="F54" s="18" t="s">
        <v>345</v>
      </c>
    </row>
    <row r="55" ht="15.75" customHeight="1">
      <c r="A55" s="10" t="s">
        <v>346</v>
      </c>
      <c r="B55" s="9" t="s">
        <v>343</v>
      </c>
      <c r="C55" s="9" t="s">
        <v>349</v>
      </c>
      <c r="D55" s="14" t="s">
        <v>36</v>
      </c>
      <c r="E55" s="10">
        <v>8.0</v>
      </c>
      <c r="F55" s="9" t="s">
        <v>351</v>
      </c>
    </row>
    <row r="56" ht="15.75" customHeight="1">
      <c r="A56" s="17" t="s">
        <v>353</v>
      </c>
      <c r="B56" s="18" t="s">
        <v>343</v>
      </c>
      <c r="C56" s="18" t="s">
        <v>354</v>
      </c>
      <c r="D56" s="14" t="s">
        <v>36</v>
      </c>
      <c r="E56" s="17">
        <v>5.0</v>
      </c>
      <c r="F56" s="18" t="s">
        <v>357</v>
      </c>
    </row>
    <row r="57" ht="15.75" customHeight="1">
      <c r="A57" s="10" t="s">
        <v>358</v>
      </c>
      <c r="B57" s="9" t="s">
        <v>343</v>
      </c>
      <c r="C57" s="9" t="s">
        <v>361</v>
      </c>
      <c r="D57" s="24" t="s">
        <v>96</v>
      </c>
      <c r="E57" s="10">
        <v>5.0</v>
      </c>
      <c r="F57" s="9" t="s">
        <v>363</v>
      </c>
    </row>
    <row r="58" ht="15.75" customHeight="1">
      <c r="A58" s="17" t="s">
        <v>365</v>
      </c>
      <c r="B58" s="18" t="s">
        <v>366</v>
      </c>
      <c r="C58" s="18" t="s">
        <v>368</v>
      </c>
      <c r="D58" s="14" t="s">
        <v>36</v>
      </c>
      <c r="E58" s="17">
        <v>8.0</v>
      </c>
      <c r="F58" s="18" t="s">
        <v>369</v>
      </c>
    </row>
    <row r="59" ht="15.75" customHeight="1">
      <c r="A59" s="10" t="s">
        <v>371</v>
      </c>
      <c r="B59" s="9" t="s">
        <v>366</v>
      </c>
      <c r="C59" s="9" t="s">
        <v>373</v>
      </c>
      <c r="D59" s="24" t="s">
        <v>96</v>
      </c>
      <c r="E59" s="10">
        <v>5.0</v>
      </c>
      <c r="F59" s="9" t="s">
        <v>375</v>
      </c>
    </row>
    <row r="60" ht="15.75" customHeight="1">
      <c r="A60" s="17" t="s">
        <v>376</v>
      </c>
      <c r="B60" s="18" t="s">
        <v>366</v>
      </c>
      <c r="C60" s="18" t="s">
        <v>377</v>
      </c>
      <c r="D60" s="24" t="s">
        <v>96</v>
      </c>
      <c r="E60" s="17">
        <v>3.0</v>
      </c>
      <c r="F60" s="18" t="s">
        <v>379</v>
      </c>
    </row>
    <row r="61" ht="15.75" customHeight="1">
      <c r="A61" s="10" t="s">
        <v>381</v>
      </c>
      <c r="B61" s="9" t="s">
        <v>382</v>
      </c>
      <c r="C61" s="9" t="s">
        <v>384</v>
      </c>
      <c r="D61" s="24" t="s">
        <v>96</v>
      </c>
      <c r="E61" s="10">
        <v>13.0</v>
      </c>
      <c r="F61" s="9" t="s">
        <v>388</v>
      </c>
    </row>
    <row r="62" ht="15.75" customHeight="1">
      <c r="A62" s="17" t="s">
        <v>389</v>
      </c>
      <c r="B62" s="18" t="s">
        <v>382</v>
      </c>
      <c r="C62" s="18" t="s">
        <v>391</v>
      </c>
      <c r="D62" s="24" t="s">
        <v>96</v>
      </c>
      <c r="E62" s="17">
        <v>5.0</v>
      </c>
      <c r="F62" s="18" t="s">
        <v>393</v>
      </c>
    </row>
    <row r="63" ht="15.75" customHeight="1">
      <c r="A63" s="10" t="s">
        <v>395</v>
      </c>
      <c r="B63" s="9" t="s">
        <v>396</v>
      </c>
      <c r="C63" s="9" t="s">
        <v>399</v>
      </c>
      <c r="D63" s="24" t="s">
        <v>96</v>
      </c>
      <c r="E63" s="10">
        <v>13.0</v>
      </c>
      <c r="F63" s="9" t="s">
        <v>401</v>
      </c>
    </row>
    <row r="64" ht="15.75" customHeight="1">
      <c r="A64" s="17" t="s">
        <v>403</v>
      </c>
      <c r="B64" s="18" t="s">
        <v>396</v>
      </c>
      <c r="C64" s="18" t="s">
        <v>405</v>
      </c>
      <c r="D64" s="24" t="s">
        <v>96</v>
      </c>
      <c r="E64" s="17">
        <v>13.0</v>
      </c>
      <c r="F64" s="18" t="s">
        <v>407</v>
      </c>
    </row>
    <row r="65" ht="15.75" customHeight="1">
      <c r="A65" s="10" t="s">
        <v>408</v>
      </c>
      <c r="B65" s="9" t="s">
        <v>396</v>
      </c>
      <c r="C65" s="9" t="s">
        <v>411</v>
      </c>
      <c r="D65" s="24" t="s">
        <v>96</v>
      </c>
      <c r="E65" s="10">
        <v>8.0</v>
      </c>
      <c r="F65" s="9" t="s">
        <v>414</v>
      </c>
    </row>
    <row r="66" ht="15.75" customHeight="1">
      <c r="A66" s="17" t="s">
        <v>416</v>
      </c>
      <c r="B66" s="18" t="s">
        <v>396</v>
      </c>
      <c r="C66" s="18" t="s">
        <v>417</v>
      </c>
      <c r="D66" s="29" t="s">
        <v>258</v>
      </c>
      <c r="E66" s="17">
        <v>5.0</v>
      </c>
      <c r="F66" s="18" t="s">
        <v>419</v>
      </c>
    </row>
    <row r="67" ht="15.75" customHeight="1"/>
    <row r="68" ht="15.75" customHeight="1">
      <c r="C68" s="30" t="s">
        <v>423</v>
      </c>
      <c r="E68" s="31">
        <f>SUM(E5:E66)</f>
        <v>494</v>
      </c>
    </row>
    <row r="69" ht="15.75" customHeight="1"/>
    <row r="70" ht="15.75" customHeight="1"/>
    <row r="71" ht="15.75" customHeight="1">
      <c r="B71" s="19" t="s">
        <v>473</v>
      </c>
    </row>
    <row r="72" ht="15.75" customHeight="1">
      <c r="B72" s="32" t="s">
        <v>21</v>
      </c>
      <c r="C72" s="32" t="s">
        <v>27</v>
      </c>
    </row>
    <row r="73" ht="15.75" customHeight="1">
      <c r="B73" s="18" t="s">
        <v>34</v>
      </c>
      <c r="C73" s="17">
        <f>SUMIF(B5:B66,B73,E5:E66)</f>
        <v>32</v>
      </c>
    </row>
    <row r="74" ht="15.75" customHeight="1">
      <c r="B74" s="9" t="s">
        <v>73</v>
      </c>
      <c r="C74" s="10">
        <f>SUMIF(B5:B66,B74,E5:E66)</f>
        <v>41</v>
      </c>
    </row>
    <row r="75" ht="15.75" customHeight="1">
      <c r="B75" s="18" t="s">
        <v>111</v>
      </c>
      <c r="C75" s="17">
        <f>SUMIF(B5:B66,B75,E5:E66)</f>
        <v>13</v>
      </c>
    </row>
    <row r="76" ht="15.75" customHeight="1">
      <c r="B76" s="9" t="s">
        <v>123</v>
      </c>
      <c r="C76" s="10">
        <f>SUMIF(B5:B66,B76,E5:E66)</f>
        <v>55</v>
      </c>
    </row>
    <row r="77" ht="15.75" customHeight="1">
      <c r="B77" s="18" t="s">
        <v>164</v>
      </c>
      <c r="C77" s="17">
        <f>SUMIF(B5:B66,B77,E5:E66)</f>
        <v>39</v>
      </c>
    </row>
    <row r="78" ht="15.75" customHeight="1">
      <c r="B78" s="9" t="s">
        <v>191</v>
      </c>
      <c r="C78" s="10">
        <f>SUMIF(B5:B66,B78,E5:E66)</f>
        <v>34</v>
      </c>
    </row>
    <row r="79" ht="15.75" customHeight="1">
      <c r="B79" s="18" t="s">
        <v>217</v>
      </c>
      <c r="C79" s="17">
        <f>SUMIF(B5:B66,B79,E5:E66)</f>
        <v>26</v>
      </c>
    </row>
    <row r="80" ht="15.75" customHeight="1">
      <c r="B80" s="9" t="s">
        <v>234</v>
      </c>
      <c r="C80" s="10">
        <f>SUMIF(B5:B66,B80,E5:E66)</f>
        <v>24</v>
      </c>
    </row>
    <row r="81" ht="15.75" customHeight="1">
      <c r="B81" s="18" t="s">
        <v>266</v>
      </c>
      <c r="C81" s="17">
        <f>SUMIF(B5:B66,B81,E5:E66)</f>
        <v>8</v>
      </c>
    </row>
    <row r="82" ht="15.75" customHeight="1">
      <c r="B82" s="9" t="s">
        <v>272</v>
      </c>
      <c r="C82" s="10">
        <f>SUMIF(B5:B66,B82,E5:E66)</f>
        <v>11</v>
      </c>
    </row>
    <row r="83" ht="15.75" customHeight="1">
      <c r="B83" s="18" t="s">
        <v>283</v>
      </c>
      <c r="C83" s="17">
        <f>SUMIF(B5:B66,B83,E5:E66)</f>
        <v>52</v>
      </c>
    </row>
    <row r="84" ht="15.75" customHeight="1">
      <c r="B84" s="9" t="s">
        <v>309</v>
      </c>
      <c r="C84" s="10">
        <f>SUMIF(B5:B66,B84,E5:E66)</f>
        <v>60</v>
      </c>
    </row>
    <row r="85" ht="15.75" customHeight="1">
      <c r="B85" s="18" t="s">
        <v>343</v>
      </c>
      <c r="C85" s="17">
        <f>SUMIF(B5:B66,B85,E5:E66)</f>
        <v>26</v>
      </c>
    </row>
    <row r="86" ht="15.75" customHeight="1">
      <c r="B86" s="9" t="s">
        <v>366</v>
      </c>
      <c r="C86" s="10">
        <f>SUMIF(B5:B66,B86,E5:E66)</f>
        <v>16</v>
      </c>
    </row>
    <row r="87" ht="15.75" customHeight="1">
      <c r="B87" s="18" t="s">
        <v>382</v>
      </c>
      <c r="C87" s="17">
        <f>SUMIF(B5:B66,B87,E5:E66)</f>
        <v>18</v>
      </c>
    </row>
    <row r="88" ht="15.75" customHeight="1">
      <c r="B88" s="9" t="s">
        <v>396</v>
      </c>
      <c r="C88" s="10">
        <f>SUMIF(B5:B66,B88,E5:E66)</f>
        <v>39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66"/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2.0"/>
    <col customWidth="1" min="4" max="4" width="6.0"/>
    <col customWidth="1" min="5" max="5" width="42.0"/>
    <col customWidth="1" min="6" max="26" width="8.71"/>
  </cols>
  <sheetData>
    <row r="1" ht="27.75" customHeight="1">
      <c r="A1" s="1" t="s">
        <v>2</v>
      </c>
    </row>
    <row r="2" ht="15.75" customHeight="1">
      <c r="A2" s="3" t="s">
        <v>4</v>
      </c>
    </row>
    <row r="4" ht="25.5" customHeight="1">
      <c r="A4" s="5" t="s">
        <v>7</v>
      </c>
      <c r="B4" s="5" t="s">
        <v>11</v>
      </c>
      <c r="C4" s="5" t="s">
        <v>12</v>
      </c>
      <c r="D4" s="5" t="s">
        <v>14</v>
      </c>
      <c r="E4" s="5" t="s">
        <v>16</v>
      </c>
    </row>
    <row r="5">
      <c r="A5" s="7" t="s">
        <v>20</v>
      </c>
      <c r="B5" s="9" t="s">
        <v>28</v>
      </c>
      <c r="C5" s="9" t="s">
        <v>32</v>
      </c>
      <c r="D5" s="12" t="s">
        <v>33</v>
      </c>
      <c r="E5" s="9" t="s">
        <v>37</v>
      </c>
    </row>
    <row r="6">
      <c r="A6" s="16" t="s">
        <v>20</v>
      </c>
      <c r="B6" s="18" t="s">
        <v>51</v>
      </c>
      <c r="C6" s="18" t="s">
        <v>57</v>
      </c>
      <c r="D6" s="20"/>
      <c r="E6" s="18"/>
    </row>
    <row r="7">
      <c r="A7" s="7" t="s">
        <v>20</v>
      </c>
      <c r="B7" s="9" t="s">
        <v>79</v>
      </c>
      <c r="C7" s="9" t="s">
        <v>57</v>
      </c>
      <c r="D7" s="20"/>
      <c r="E7" s="9" t="s">
        <v>82</v>
      </c>
    </row>
    <row r="8">
      <c r="A8" s="16" t="s">
        <v>84</v>
      </c>
      <c r="B8" s="18" t="s">
        <v>28</v>
      </c>
      <c r="C8" s="18" t="s">
        <v>32</v>
      </c>
      <c r="D8" s="12" t="s">
        <v>33</v>
      </c>
      <c r="E8" s="18"/>
    </row>
    <row r="9">
      <c r="A9" s="7" t="s">
        <v>84</v>
      </c>
      <c r="B9" s="9" t="s">
        <v>88</v>
      </c>
      <c r="C9" s="9" t="s">
        <v>32</v>
      </c>
      <c r="D9" s="26" t="s">
        <v>92</v>
      </c>
      <c r="E9" s="9" t="s">
        <v>126</v>
      </c>
    </row>
    <row r="10">
      <c r="A10" s="16" t="s">
        <v>84</v>
      </c>
      <c r="B10" s="18" t="s">
        <v>129</v>
      </c>
      <c r="C10" s="18" t="s">
        <v>132</v>
      </c>
      <c r="D10" s="20"/>
      <c r="E10" s="18" t="s">
        <v>135</v>
      </c>
    </row>
    <row r="11">
      <c r="A11" s="7" t="s">
        <v>84</v>
      </c>
      <c r="B11" s="9" t="s">
        <v>139</v>
      </c>
      <c r="C11" s="9" t="s">
        <v>57</v>
      </c>
      <c r="D11" s="20"/>
      <c r="E11" s="9" t="s">
        <v>141</v>
      </c>
    </row>
    <row r="12">
      <c r="A12" s="16" t="s">
        <v>143</v>
      </c>
      <c r="B12" s="18" t="s">
        <v>28</v>
      </c>
      <c r="C12" s="18" t="s">
        <v>32</v>
      </c>
      <c r="D12" s="12" t="s">
        <v>33</v>
      </c>
      <c r="E12" s="18"/>
    </row>
    <row r="13">
      <c r="A13" s="7" t="s">
        <v>143</v>
      </c>
      <c r="B13" s="9" t="s">
        <v>88</v>
      </c>
      <c r="C13" s="9" t="s">
        <v>32</v>
      </c>
      <c r="D13" s="26" t="s">
        <v>92</v>
      </c>
      <c r="E13" s="9" t="s">
        <v>126</v>
      </c>
    </row>
    <row r="14">
      <c r="A14" s="16" t="s">
        <v>143</v>
      </c>
      <c r="B14" s="18" t="s">
        <v>51</v>
      </c>
      <c r="C14" s="18" t="s">
        <v>57</v>
      </c>
      <c r="D14" s="20"/>
      <c r="E14" s="18"/>
    </row>
    <row r="15">
      <c r="A15" s="7" t="s">
        <v>159</v>
      </c>
      <c r="B15" s="9" t="s">
        <v>28</v>
      </c>
      <c r="C15" s="9" t="s">
        <v>32</v>
      </c>
      <c r="D15" s="12" t="s">
        <v>33</v>
      </c>
      <c r="E15" s="9"/>
    </row>
    <row r="16">
      <c r="A16" s="16" t="s">
        <v>159</v>
      </c>
      <c r="B16" s="18" t="s">
        <v>168</v>
      </c>
      <c r="C16" s="18" t="s">
        <v>32</v>
      </c>
      <c r="D16" s="26" t="s">
        <v>92</v>
      </c>
      <c r="E16" s="18" t="s">
        <v>171</v>
      </c>
    </row>
    <row r="17">
      <c r="A17" s="7" t="s">
        <v>159</v>
      </c>
      <c r="B17" s="9" t="s">
        <v>176</v>
      </c>
      <c r="C17" s="9" t="s">
        <v>57</v>
      </c>
      <c r="D17" s="20"/>
      <c r="E17" s="9"/>
    </row>
    <row r="18">
      <c r="A18" s="16" t="s">
        <v>178</v>
      </c>
      <c r="B18" s="18" t="s">
        <v>28</v>
      </c>
      <c r="C18" s="18" t="s">
        <v>32</v>
      </c>
      <c r="D18" s="12" t="s">
        <v>33</v>
      </c>
      <c r="E18" s="18"/>
    </row>
    <row r="19">
      <c r="A19" s="7" t="s">
        <v>178</v>
      </c>
      <c r="B19" s="9" t="s">
        <v>168</v>
      </c>
      <c r="C19" s="9" t="s">
        <v>32</v>
      </c>
      <c r="D19" s="26" t="s">
        <v>92</v>
      </c>
      <c r="E19" s="9" t="s">
        <v>171</v>
      </c>
    </row>
    <row r="20">
      <c r="A20" s="16" t="s">
        <v>178</v>
      </c>
      <c r="B20" s="18" t="s">
        <v>188</v>
      </c>
      <c r="C20" s="18" t="s">
        <v>57</v>
      </c>
      <c r="D20" s="20"/>
      <c r="E20" s="18"/>
    </row>
    <row r="21" ht="15.75" customHeight="1">
      <c r="A21" s="7" t="s">
        <v>178</v>
      </c>
      <c r="B21" s="9" t="s">
        <v>194</v>
      </c>
      <c r="C21" s="9" t="s">
        <v>57</v>
      </c>
      <c r="D21" s="20"/>
      <c r="E21" s="9" t="s">
        <v>197</v>
      </c>
    </row>
    <row r="22" ht="15.75" customHeight="1">
      <c r="A22" s="16" t="s">
        <v>200</v>
      </c>
      <c r="B22" s="18" t="s">
        <v>201</v>
      </c>
      <c r="C22" s="18" t="s">
        <v>32</v>
      </c>
      <c r="D22" s="26" t="s">
        <v>92</v>
      </c>
      <c r="E22" s="18" t="s">
        <v>204</v>
      </c>
    </row>
    <row r="23" ht="15.75" customHeight="1">
      <c r="A23" s="7" t="s">
        <v>200</v>
      </c>
      <c r="B23" s="9" t="s">
        <v>206</v>
      </c>
      <c r="C23" s="9" t="s">
        <v>208</v>
      </c>
      <c r="D23" s="20"/>
      <c r="E23" s="9" t="s">
        <v>214</v>
      </c>
    </row>
    <row r="24" ht="15.75" customHeight="1">
      <c r="A24" s="16" t="s">
        <v>200</v>
      </c>
      <c r="B24" s="18" t="s">
        <v>219</v>
      </c>
      <c r="C24" s="18" t="s">
        <v>220</v>
      </c>
      <c r="D24" s="20"/>
      <c r="E24" s="18"/>
    </row>
    <row r="25" ht="15.75" customHeight="1">
      <c r="A25" s="7" t="s">
        <v>224</v>
      </c>
      <c r="B25" s="9" t="s">
        <v>28</v>
      </c>
      <c r="C25" s="9" t="s">
        <v>32</v>
      </c>
      <c r="D25" s="12" t="s">
        <v>33</v>
      </c>
      <c r="E25" s="9"/>
    </row>
    <row r="26" ht="15.75" customHeight="1">
      <c r="A26" s="16" t="s">
        <v>224</v>
      </c>
      <c r="B26" s="18" t="s">
        <v>229</v>
      </c>
      <c r="C26" s="18" t="s">
        <v>32</v>
      </c>
      <c r="D26" s="26" t="s">
        <v>92</v>
      </c>
      <c r="E26" s="18" t="s">
        <v>231</v>
      </c>
    </row>
    <row r="27" ht="15.75" customHeight="1">
      <c r="A27" s="7" t="s">
        <v>224</v>
      </c>
      <c r="B27" s="9" t="s">
        <v>235</v>
      </c>
      <c r="C27" s="9" t="s">
        <v>238</v>
      </c>
      <c r="D27" s="20"/>
      <c r="E27" s="9" t="s">
        <v>241</v>
      </c>
    </row>
    <row r="28" ht="15.75" customHeight="1">
      <c r="A28" s="16" t="s">
        <v>243</v>
      </c>
      <c r="B28" s="18" t="s">
        <v>28</v>
      </c>
      <c r="C28" s="18" t="s">
        <v>32</v>
      </c>
      <c r="D28" s="12" t="s">
        <v>33</v>
      </c>
      <c r="E28" s="18"/>
    </row>
    <row r="29" ht="15.75" customHeight="1">
      <c r="A29" s="7" t="s">
        <v>243</v>
      </c>
      <c r="B29" s="9" t="s">
        <v>248</v>
      </c>
      <c r="C29" s="9" t="s">
        <v>32</v>
      </c>
      <c r="D29" s="26" t="s">
        <v>92</v>
      </c>
      <c r="E29" s="9" t="s">
        <v>251</v>
      </c>
    </row>
    <row r="30" ht="15.75" customHeight="1">
      <c r="A30" s="16" t="s">
        <v>243</v>
      </c>
      <c r="B30" s="18" t="s">
        <v>253</v>
      </c>
      <c r="C30" s="18" t="s">
        <v>57</v>
      </c>
      <c r="D30" s="20"/>
      <c r="E30" s="18"/>
    </row>
    <row r="31" ht="15.75" customHeight="1">
      <c r="A31" s="7" t="s">
        <v>243</v>
      </c>
      <c r="B31" s="9" t="s">
        <v>257</v>
      </c>
      <c r="C31" s="9" t="s">
        <v>57</v>
      </c>
      <c r="D31" s="20"/>
      <c r="E31" s="9" t="s">
        <v>260</v>
      </c>
    </row>
    <row r="32" ht="15.75" customHeight="1">
      <c r="A32" s="16" t="s">
        <v>261</v>
      </c>
      <c r="B32" s="18" t="s">
        <v>28</v>
      </c>
      <c r="C32" s="18" t="s">
        <v>32</v>
      </c>
      <c r="D32" s="12" t="s">
        <v>33</v>
      </c>
      <c r="E32" s="18" t="s">
        <v>262</v>
      </c>
    </row>
    <row r="33" ht="15.75" customHeight="1">
      <c r="A33" s="7" t="s">
        <v>261</v>
      </c>
      <c r="B33" s="9" t="s">
        <v>229</v>
      </c>
      <c r="C33" s="9" t="s">
        <v>32</v>
      </c>
      <c r="D33" s="26" t="s">
        <v>92</v>
      </c>
      <c r="E33" s="9" t="s">
        <v>231</v>
      </c>
    </row>
    <row r="34" ht="15.75" customHeight="1">
      <c r="A34" s="16" t="s">
        <v>270</v>
      </c>
      <c r="B34" s="18" t="s">
        <v>28</v>
      </c>
      <c r="C34" s="18" t="s">
        <v>32</v>
      </c>
      <c r="D34" s="12" t="s">
        <v>33</v>
      </c>
      <c r="E34" s="18" t="s">
        <v>274</v>
      </c>
    </row>
    <row r="35" ht="15.75" customHeight="1">
      <c r="A35" s="7" t="s">
        <v>270</v>
      </c>
      <c r="B35" s="9" t="s">
        <v>88</v>
      </c>
      <c r="C35" s="9" t="s">
        <v>32</v>
      </c>
      <c r="D35" s="26" t="s">
        <v>92</v>
      </c>
      <c r="E35" s="9" t="s">
        <v>126</v>
      </c>
    </row>
    <row r="36" ht="15.75" customHeight="1">
      <c r="A36" s="16" t="s">
        <v>270</v>
      </c>
      <c r="B36" s="18" t="s">
        <v>281</v>
      </c>
      <c r="C36" s="18" t="s">
        <v>57</v>
      </c>
      <c r="D36" s="20"/>
      <c r="E36" s="18" t="s">
        <v>284</v>
      </c>
    </row>
    <row r="37" ht="15.75" customHeight="1">
      <c r="A37" s="7" t="s">
        <v>270</v>
      </c>
      <c r="B37" s="9" t="s">
        <v>287</v>
      </c>
      <c r="C37" s="9" t="s">
        <v>57</v>
      </c>
      <c r="D37" s="20"/>
      <c r="E37" s="9"/>
    </row>
    <row r="38" ht="15.75" customHeight="1">
      <c r="A38" s="16" t="s">
        <v>290</v>
      </c>
      <c r="B38" s="18" t="s">
        <v>28</v>
      </c>
      <c r="C38" s="18" t="s">
        <v>32</v>
      </c>
      <c r="D38" s="12" t="s">
        <v>33</v>
      </c>
      <c r="E38" s="18"/>
    </row>
    <row r="39" ht="15.75" customHeight="1">
      <c r="A39" s="7" t="s">
        <v>290</v>
      </c>
      <c r="B39" s="9" t="s">
        <v>168</v>
      </c>
      <c r="C39" s="9" t="s">
        <v>32</v>
      </c>
      <c r="D39" s="26" t="s">
        <v>92</v>
      </c>
      <c r="E39" s="9" t="s">
        <v>171</v>
      </c>
    </row>
    <row r="40" ht="15.75" customHeight="1">
      <c r="A40" s="16" t="s">
        <v>290</v>
      </c>
      <c r="B40" s="18" t="s">
        <v>299</v>
      </c>
      <c r="C40" s="18" t="s">
        <v>32</v>
      </c>
      <c r="D40" s="26" t="s">
        <v>92</v>
      </c>
      <c r="E40" s="18" t="s">
        <v>231</v>
      </c>
    </row>
    <row r="41" ht="15.75" customHeight="1">
      <c r="A41" s="7" t="s">
        <v>290</v>
      </c>
      <c r="B41" s="9" t="s">
        <v>304</v>
      </c>
      <c r="C41" s="9" t="s">
        <v>32</v>
      </c>
      <c r="D41" s="26" t="s">
        <v>92</v>
      </c>
      <c r="E41" s="9" t="s">
        <v>307</v>
      </c>
    </row>
    <row r="42" ht="15.75" customHeight="1">
      <c r="A42" s="16" t="s">
        <v>290</v>
      </c>
      <c r="B42" s="18" t="s">
        <v>311</v>
      </c>
      <c r="C42" s="18" t="s">
        <v>57</v>
      </c>
      <c r="D42" s="20"/>
      <c r="E42" s="18"/>
    </row>
    <row r="43" ht="15.75" customHeight="1">
      <c r="A43" s="7" t="s">
        <v>290</v>
      </c>
      <c r="B43" s="9" t="s">
        <v>316</v>
      </c>
      <c r="C43" s="9" t="s">
        <v>57</v>
      </c>
      <c r="D43" s="20"/>
      <c r="E43" s="9"/>
    </row>
    <row r="44" ht="15.75" customHeight="1">
      <c r="A44" s="16" t="s">
        <v>290</v>
      </c>
      <c r="B44" s="18" t="s">
        <v>320</v>
      </c>
      <c r="C44" s="18" t="s">
        <v>57</v>
      </c>
      <c r="D44" s="20"/>
      <c r="E44" s="18" t="s">
        <v>323</v>
      </c>
    </row>
    <row r="45" ht="15.75" customHeight="1">
      <c r="A45" s="7" t="s">
        <v>290</v>
      </c>
      <c r="B45" s="9" t="s">
        <v>328</v>
      </c>
      <c r="C45" s="9" t="s">
        <v>57</v>
      </c>
      <c r="D45" s="20"/>
      <c r="E45" s="9"/>
    </row>
    <row r="46" ht="15.75" customHeight="1">
      <c r="A46" s="16" t="s">
        <v>290</v>
      </c>
      <c r="B46" s="18" t="s">
        <v>332</v>
      </c>
      <c r="C46" s="18" t="s">
        <v>57</v>
      </c>
      <c r="D46" s="20"/>
      <c r="E46" s="18" t="s">
        <v>334</v>
      </c>
    </row>
    <row r="47" ht="15.75" customHeight="1">
      <c r="A47" s="7" t="s">
        <v>290</v>
      </c>
      <c r="B47" s="9" t="s">
        <v>338</v>
      </c>
      <c r="C47" s="9" t="s">
        <v>238</v>
      </c>
      <c r="D47" s="20"/>
      <c r="E47" s="9"/>
    </row>
    <row r="48" ht="15.75" customHeight="1">
      <c r="A48" s="16" t="s">
        <v>290</v>
      </c>
      <c r="B48" s="18" t="s">
        <v>348</v>
      </c>
      <c r="C48" s="18" t="s">
        <v>238</v>
      </c>
      <c r="D48" s="20"/>
      <c r="E48" s="18" t="s">
        <v>352</v>
      </c>
    </row>
    <row r="49" ht="15.75" customHeight="1">
      <c r="A49" s="7" t="s">
        <v>290</v>
      </c>
      <c r="B49" s="9" t="s">
        <v>355</v>
      </c>
      <c r="C49" s="9" t="s">
        <v>238</v>
      </c>
      <c r="D49" s="20"/>
      <c r="E49" s="9" t="s">
        <v>356</v>
      </c>
    </row>
    <row r="50" ht="15.75" customHeight="1">
      <c r="A50" s="16" t="s">
        <v>290</v>
      </c>
      <c r="B50" s="18" t="s">
        <v>360</v>
      </c>
      <c r="C50" s="18" t="s">
        <v>208</v>
      </c>
      <c r="D50" s="20"/>
      <c r="E50" s="18"/>
    </row>
    <row r="51" ht="15.75" customHeight="1">
      <c r="A51" s="7" t="s">
        <v>364</v>
      </c>
      <c r="B51" s="9" t="s">
        <v>367</v>
      </c>
      <c r="C51" s="9" t="s">
        <v>32</v>
      </c>
      <c r="D51" s="26" t="s">
        <v>92</v>
      </c>
      <c r="E51" s="9" t="s">
        <v>370</v>
      </c>
    </row>
    <row r="52" ht="15.75" customHeight="1">
      <c r="A52" s="16" t="s">
        <v>364</v>
      </c>
      <c r="B52" s="18" t="s">
        <v>206</v>
      </c>
      <c r="C52" s="18" t="s">
        <v>208</v>
      </c>
      <c r="D52" s="20"/>
      <c r="E52" s="18"/>
    </row>
    <row r="53" ht="15.75" customHeight="1">
      <c r="A53" s="7" t="s">
        <v>364</v>
      </c>
      <c r="B53" s="9" t="s">
        <v>378</v>
      </c>
      <c r="C53" s="9" t="s">
        <v>380</v>
      </c>
      <c r="D53" s="20"/>
      <c r="E53" s="9" t="s">
        <v>383</v>
      </c>
    </row>
    <row r="54" ht="15.75" customHeight="1">
      <c r="A54" s="16" t="s">
        <v>385</v>
      </c>
      <c r="B54" s="18" t="s">
        <v>28</v>
      </c>
      <c r="C54" s="18" t="s">
        <v>32</v>
      </c>
      <c r="D54" s="12" t="s">
        <v>33</v>
      </c>
      <c r="E54" s="18" t="s">
        <v>390</v>
      </c>
    </row>
    <row r="55" ht="15.75" customHeight="1">
      <c r="A55" s="7" t="s">
        <v>385</v>
      </c>
      <c r="B55" s="9" t="s">
        <v>392</v>
      </c>
      <c r="C55" s="9" t="s">
        <v>32</v>
      </c>
      <c r="D55" s="26" t="s">
        <v>92</v>
      </c>
      <c r="E55" s="9" t="s">
        <v>394</v>
      </c>
    </row>
    <row r="56" ht="15.75" customHeight="1">
      <c r="A56" s="16" t="s">
        <v>397</v>
      </c>
      <c r="B56" s="18" t="s">
        <v>28</v>
      </c>
      <c r="C56" s="18" t="s">
        <v>32</v>
      </c>
      <c r="D56" s="12" t="s">
        <v>33</v>
      </c>
      <c r="E56" s="18" t="s">
        <v>402</v>
      </c>
    </row>
    <row r="57" ht="15.75" customHeight="1">
      <c r="A57" s="7" t="s">
        <v>397</v>
      </c>
      <c r="B57" s="9" t="s">
        <v>404</v>
      </c>
      <c r="C57" s="9" t="s">
        <v>32</v>
      </c>
      <c r="D57" s="26" t="s">
        <v>92</v>
      </c>
      <c r="E57" s="9" t="s">
        <v>406</v>
      </c>
    </row>
    <row r="58" ht="15.75" customHeight="1">
      <c r="A58" s="16" t="s">
        <v>397</v>
      </c>
      <c r="B58" s="18" t="s">
        <v>409</v>
      </c>
      <c r="C58" s="18" t="s">
        <v>57</v>
      </c>
      <c r="D58" s="20"/>
      <c r="E58" s="18" t="s">
        <v>412</v>
      </c>
    </row>
    <row r="59" ht="15.75" customHeight="1">
      <c r="A59" s="7" t="s">
        <v>415</v>
      </c>
      <c r="B59" s="9" t="s">
        <v>28</v>
      </c>
      <c r="C59" s="9" t="s">
        <v>32</v>
      </c>
      <c r="D59" s="12" t="s">
        <v>33</v>
      </c>
      <c r="E59" s="9" t="s">
        <v>418</v>
      </c>
    </row>
    <row r="60" ht="15.75" customHeight="1">
      <c r="A60" s="16" t="s">
        <v>415</v>
      </c>
      <c r="B60" s="18" t="s">
        <v>168</v>
      </c>
      <c r="C60" s="18" t="s">
        <v>32</v>
      </c>
      <c r="D60" s="26" t="s">
        <v>92</v>
      </c>
      <c r="E60" s="18" t="s">
        <v>171</v>
      </c>
    </row>
    <row r="61" ht="15.75" customHeight="1">
      <c r="A61" s="7" t="s">
        <v>415</v>
      </c>
      <c r="B61" s="9" t="s">
        <v>424</v>
      </c>
      <c r="C61" s="9" t="s">
        <v>57</v>
      </c>
      <c r="D61" s="20"/>
      <c r="E61" s="9"/>
    </row>
    <row r="62" ht="15.75" customHeight="1">
      <c r="A62" s="16" t="s">
        <v>426</v>
      </c>
      <c r="B62" s="18" t="s">
        <v>427</v>
      </c>
      <c r="C62" s="18" t="s">
        <v>32</v>
      </c>
      <c r="D62" s="26" t="s">
        <v>92</v>
      </c>
      <c r="E62" s="18" t="s">
        <v>429</v>
      </c>
    </row>
    <row r="63" ht="15.75" customHeight="1">
      <c r="A63" s="7" t="s">
        <v>431</v>
      </c>
      <c r="B63" s="9" t="s">
        <v>427</v>
      </c>
      <c r="C63" s="9" t="s">
        <v>32</v>
      </c>
      <c r="D63" s="26" t="s">
        <v>92</v>
      </c>
      <c r="E63" s="9" t="s">
        <v>429</v>
      </c>
    </row>
    <row r="64" ht="15.75" customHeight="1">
      <c r="A64" s="16" t="s">
        <v>432</v>
      </c>
      <c r="B64" s="18" t="s">
        <v>28</v>
      </c>
      <c r="C64" s="18" t="s">
        <v>32</v>
      </c>
      <c r="D64" s="12" t="s">
        <v>33</v>
      </c>
      <c r="E64" s="18" t="s">
        <v>433</v>
      </c>
    </row>
    <row r="65" ht="15.75" customHeight="1">
      <c r="A65" s="7" t="s">
        <v>432</v>
      </c>
      <c r="B65" s="9" t="s">
        <v>201</v>
      </c>
      <c r="C65" s="9" t="s">
        <v>32</v>
      </c>
      <c r="D65" s="26" t="s">
        <v>92</v>
      </c>
      <c r="E65" s="9" t="s">
        <v>436</v>
      </c>
    </row>
    <row r="66" ht="15.75" customHeight="1">
      <c r="A66" s="16" t="s">
        <v>437</v>
      </c>
      <c r="B66" s="18" t="s">
        <v>438</v>
      </c>
      <c r="C66" s="18" t="s">
        <v>32</v>
      </c>
      <c r="D66" s="26" t="s">
        <v>92</v>
      </c>
      <c r="E66" s="18" t="s">
        <v>439</v>
      </c>
    </row>
    <row r="67" ht="15.75" customHeight="1">
      <c r="A67" s="7" t="s">
        <v>441</v>
      </c>
      <c r="B67" s="9" t="s">
        <v>28</v>
      </c>
      <c r="C67" s="9" t="s">
        <v>32</v>
      </c>
      <c r="D67" s="12" t="s">
        <v>33</v>
      </c>
      <c r="E67" s="9"/>
    </row>
    <row r="68" ht="15.75" customHeight="1">
      <c r="A68" s="16" t="s">
        <v>441</v>
      </c>
      <c r="B68" s="18" t="s">
        <v>168</v>
      </c>
      <c r="C68" s="18" t="s">
        <v>32</v>
      </c>
      <c r="D68" s="26" t="s">
        <v>92</v>
      </c>
      <c r="E68" s="18" t="s">
        <v>171</v>
      </c>
    </row>
    <row r="69" ht="15.75" customHeight="1">
      <c r="A69" s="7" t="s">
        <v>441</v>
      </c>
      <c r="B69" s="9" t="s">
        <v>443</v>
      </c>
      <c r="C69" s="9" t="s">
        <v>57</v>
      </c>
      <c r="D69" s="20"/>
      <c r="E69" s="9" t="s">
        <v>446</v>
      </c>
    </row>
    <row r="70" ht="15.75" customHeight="1">
      <c r="A70" s="16" t="s">
        <v>447</v>
      </c>
      <c r="B70" s="18" t="s">
        <v>448</v>
      </c>
      <c r="C70" s="18" t="s">
        <v>32</v>
      </c>
      <c r="D70" s="26" t="s">
        <v>92</v>
      </c>
      <c r="E70" s="18" t="s">
        <v>449</v>
      </c>
    </row>
    <row r="71" ht="15.75" customHeight="1">
      <c r="A71" s="7" t="s">
        <v>450</v>
      </c>
      <c r="B71" s="9" t="s">
        <v>448</v>
      </c>
      <c r="C71" s="9" t="s">
        <v>32</v>
      </c>
      <c r="D71" s="26" t="s">
        <v>92</v>
      </c>
      <c r="E71" s="9" t="s">
        <v>453</v>
      </c>
    </row>
    <row r="72" ht="15.75" customHeight="1">
      <c r="A72" s="16" t="s">
        <v>454</v>
      </c>
      <c r="B72" s="18" t="s">
        <v>448</v>
      </c>
      <c r="C72" s="18" t="s">
        <v>32</v>
      </c>
      <c r="D72" s="26" t="s">
        <v>92</v>
      </c>
      <c r="E72" s="18" t="s">
        <v>455</v>
      </c>
    </row>
    <row r="73" ht="15.75" customHeight="1">
      <c r="A73" s="7" t="s">
        <v>458</v>
      </c>
      <c r="B73" s="9" t="s">
        <v>28</v>
      </c>
      <c r="C73" s="9" t="s">
        <v>32</v>
      </c>
      <c r="D73" s="12" t="s">
        <v>33</v>
      </c>
      <c r="E73" s="9"/>
    </row>
    <row r="74" ht="15.75" customHeight="1">
      <c r="A74" s="16" t="s">
        <v>458</v>
      </c>
      <c r="B74" s="18" t="s">
        <v>168</v>
      </c>
      <c r="C74" s="18" t="s">
        <v>32</v>
      </c>
      <c r="D74" s="26" t="s">
        <v>92</v>
      </c>
      <c r="E74" s="18" t="s">
        <v>171</v>
      </c>
    </row>
    <row r="75" ht="15.75" customHeight="1">
      <c r="A75" s="7" t="s">
        <v>458</v>
      </c>
      <c r="B75" s="9" t="s">
        <v>461</v>
      </c>
      <c r="C75" s="9" t="s">
        <v>57</v>
      </c>
      <c r="D75" s="20"/>
      <c r="E75" s="9" t="s">
        <v>462</v>
      </c>
    </row>
    <row r="76" ht="15.75" customHeight="1">
      <c r="A76" s="16" t="s">
        <v>458</v>
      </c>
      <c r="B76" s="18" t="s">
        <v>463</v>
      </c>
      <c r="C76" s="18" t="s">
        <v>57</v>
      </c>
      <c r="D76" s="20"/>
      <c r="E76" s="18" t="s">
        <v>464</v>
      </c>
    </row>
    <row r="77" ht="15.75" customHeight="1">
      <c r="A77" s="7" t="s">
        <v>458</v>
      </c>
      <c r="B77" s="9" t="s">
        <v>467</v>
      </c>
      <c r="C77" s="9" t="s">
        <v>57</v>
      </c>
      <c r="D77" s="20"/>
      <c r="E77" s="9" t="s">
        <v>468</v>
      </c>
    </row>
    <row r="78" ht="15.75" customHeight="1">
      <c r="A78" s="16" t="s">
        <v>469</v>
      </c>
      <c r="B78" s="18" t="s">
        <v>28</v>
      </c>
      <c r="C78" s="18" t="s">
        <v>32</v>
      </c>
      <c r="D78" s="12" t="s">
        <v>33</v>
      </c>
      <c r="E78" s="18" t="s">
        <v>472</v>
      </c>
    </row>
    <row r="79" ht="15.75" customHeight="1">
      <c r="A79" s="7" t="s">
        <v>474</v>
      </c>
      <c r="B79" s="9" t="s">
        <v>28</v>
      </c>
      <c r="C79" s="9" t="s">
        <v>32</v>
      </c>
      <c r="D79" s="12" t="s">
        <v>33</v>
      </c>
      <c r="E79" s="9"/>
    </row>
    <row r="80" ht="15.75" customHeight="1">
      <c r="A80" s="16" t="s">
        <v>475</v>
      </c>
      <c r="B80" s="18" t="s">
        <v>28</v>
      </c>
      <c r="C80" s="18" t="s">
        <v>32</v>
      </c>
      <c r="D80" s="12" t="s">
        <v>33</v>
      </c>
      <c r="E80" s="18" t="s">
        <v>478</v>
      </c>
    </row>
    <row r="81" ht="15.75" customHeight="1">
      <c r="A81" s="7" t="s">
        <v>475</v>
      </c>
      <c r="B81" s="9" t="s">
        <v>479</v>
      </c>
      <c r="C81" s="9" t="s">
        <v>380</v>
      </c>
      <c r="D81" s="20"/>
      <c r="E81" s="9" t="s">
        <v>480</v>
      </c>
    </row>
    <row r="82" ht="15.75" customHeight="1">
      <c r="A82" s="16" t="s">
        <v>482</v>
      </c>
      <c r="B82" s="18" t="s">
        <v>28</v>
      </c>
      <c r="C82" s="18" t="s">
        <v>32</v>
      </c>
      <c r="D82" s="12" t="s">
        <v>33</v>
      </c>
      <c r="E82" s="18" t="s">
        <v>485</v>
      </c>
    </row>
    <row r="83" ht="15.75" customHeight="1">
      <c r="A83" s="7" t="s">
        <v>482</v>
      </c>
      <c r="B83" s="9" t="s">
        <v>88</v>
      </c>
      <c r="C83" s="9" t="s">
        <v>32</v>
      </c>
      <c r="D83" s="26" t="s">
        <v>92</v>
      </c>
      <c r="E83" s="9" t="s">
        <v>126</v>
      </c>
    </row>
    <row r="84" ht="15.75" customHeight="1">
      <c r="A84" s="16" t="s">
        <v>482</v>
      </c>
      <c r="B84" s="18" t="s">
        <v>489</v>
      </c>
      <c r="C84" s="18" t="s">
        <v>57</v>
      </c>
      <c r="D84" s="20"/>
      <c r="E84" s="18" t="s">
        <v>490</v>
      </c>
    </row>
    <row r="85" ht="15.75" customHeight="1">
      <c r="A85" s="7" t="s">
        <v>482</v>
      </c>
      <c r="B85" s="9" t="s">
        <v>493</v>
      </c>
      <c r="C85" s="9" t="s">
        <v>32</v>
      </c>
      <c r="D85" s="26" t="s">
        <v>92</v>
      </c>
      <c r="E85" s="9" t="s">
        <v>494</v>
      </c>
    </row>
    <row r="86" ht="15.75" customHeight="1">
      <c r="A86" s="16" t="s">
        <v>482</v>
      </c>
      <c r="B86" s="18" t="s">
        <v>496</v>
      </c>
      <c r="C86" s="18" t="s">
        <v>380</v>
      </c>
      <c r="D86" s="20"/>
      <c r="E86" s="18" t="s">
        <v>498</v>
      </c>
    </row>
    <row r="87" ht="15.75" customHeight="1">
      <c r="A87" s="7" t="s">
        <v>499</v>
      </c>
      <c r="B87" s="9" t="s">
        <v>28</v>
      </c>
      <c r="C87" s="9" t="s">
        <v>32</v>
      </c>
      <c r="D87" s="12" t="s">
        <v>33</v>
      </c>
      <c r="E87" s="9" t="s">
        <v>502</v>
      </c>
    </row>
    <row r="88" ht="15.75" customHeight="1">
      <c r="A88" s="16" t="s">
        <v>499</v>
      </c>
      <c r="B88" s="18" t="s">
        <v>88</v>
      </c>
      <c r="C88" s="18" t="s">
        <v>32</v>
      </c>
      <c r="D88" s="26" t="s">
        <v>92</v>
      </c>
      <c r="E88" s="18" t="s">
        <v>504</v>
      </c>
    </row>
    <row r="89" ht="15.75" customHeight="1">
      <c r="A89" s="7" t="s">
        <v>499</v>
      </c>
      <c r="B89" s="9" t="s">
        <v>507</v>
      </c>
      <c r="C89" s="9" t="s">
        <v>57</v>
      </c>
      <c r="D89" s="20"/>
      <c r="E89" s="9" t="s">
        <v>509</v>
      </c>
    </row>
    <row r="90" ht="15.75" customHeight="1">
      <c r="A90" s="16" t="s">
        <v>499</v>
      </c>
      <c r="B90" s="18" t="s">
        <v>512</v>
      </c>
      <c r="C90" s="18" t="s">
        <v>380</v>
      </c>
      <c r="D90" s="20"/>
      <c r="E90" s="18" t="s">
        <v>516</v>
      </c>
    </row>
    <row r="91" ht="15.75" customHeight="1">
      <c r="A91" s="7" t="s">
        <v>518</v>
      </c>
      <c r="B91" s="9" t="s">
        <v>28</v>
      </c>
      <c r="C91" s="9" t="s">
        <v>32</v>
      </c>
      <c r="D91" s="12" t="s">
        <v>33</v>
      </c>
      <c r="E91" s="9" t="s">
        <v>521</v>
      </c>
    </row>
    <row r="92" ht="15.75" customHeight="1">
      <c r="A92" s="16" t="s">
        <v>518</v>
      </c>
      <c r="B92" s="18" t="s">
        <v>88</v>
      </c>
      <c r="C92" s="18" t="s">
        <v>32</v>
      </c>
      <c r="D92" s="26" t="s">
        <v>92</v>
      </c>
      <c r="E92" s="18" t="s">
        <v>524</v>
      </c>
    </row>
    <row r="93" ht="15.75" customHeight="1">
      <c r="A93" s="7" t="s">
        <v>518</v>
      </c>
      <c r="B93" s="9" t="s">
        <v>530</v>
      </c>
      <c r="C93" s="9" t="s">
        <v>57</v>
      </c>
      <c r="D93" s="20"/>
      <c r="E93" s="9" t="s">
        <v>531</v>
      </c>
    </row>
    <row r="94" ht="15.75" customHeight="1">
      <c r="A94" s="16" t="s">
        <v>518</v>
      </c>
      <c r="B94" s="18" t="s">
        <v>533</v>
      </c>
      <c r="C94" s="18" t="s">
        <v>535</v>
      </c>
      <c r="D94" s="20"/>
      <c r="E94" s="18" t="s">
        <v>537</v>
      </c>
    </row>
    <row r="95" ht="15.75" customHeight="1">
      <c r="A95" s="7" t="s">
        <v>518</v>
      </c>
      <c r="B95" s="9" t="s">
        <v>539</v>
      </c>
      <c r="C95" s="9" t="s">
        <v>542</v>
      </c>
      <c r="D95" s="20"/>
      <c r="E95" s="9"/>
    </row>
    <row r="96" ht="15.75" customHeight="1">
      <c r="A96" s="16" t="s">
        <v>544</v>
      </c>
      <c r="B96" s="18" t="s">
        <v>28</v>
      </c>
      <c r="C96" s="18" t="s">
        <v>32</v>
      </c>
      <c r="D96" s="12" t="s">
        <v>33</v>
      </c>
      <c r="E96" s="18" t="s">
        <v>545</v>
      </c>
    </row>
    <row r="97" ht="15.75" customHeight="1">
      <c r="A97" s="7" t="s">
        <v>544</v>
      </c>
      <c r="B97" s="9" t="s">
        <v>88</v>
      </c>
      <c r="C97" s="9" t="s">
        <v>32</v>
      </c>
      <c r="D97" s="26" t="s">
        <v>92</v>
      </c>
      <c r="E97" s="9" t="s">
        <v>126</v>
      </c>
    </row>
    <row r="98" ht="15.75" customHeight="1">
      <c r="A98" s="16" t="s">
        <v>544</v>
      </c>
      <c r="B98" s="18" t="s">
        <v>548</v>
      </c>
      <c r="C98" s="18" t="s">
        <v>57</v>
      </c>
      <c r="D98" s="20"/>
      <c r="E98" s="18" t="s">
        <v>549</v>
      </c>
    </row>
    <row r="99" ht="15.75" customHeight="1">
      <c r="A99" s="7" t="s">
        <v>544</v>
      </c>
      <c r="B99" s="9" t="s">
        <v>552</v>
      </c>
      <c r="C99" s="9" t="s">
        <v>32</v>
      </c>
      <c r="D99" s="26" t="s">
        <v>92</v>
      </c>
      <c r="E99" s="9" t="s">
        <v>554</v>
      </c>
    </row>
    <row r="100" ht="15.75" customHeight="1">
      <c r="A100" s="16" t="s">
        <v>544</v>
      </c>
      <c r="B100" s="18" t="s">
        <v>557</v>
      </c>
      <c r="C100" s="18" t="s">
        <v>559</v>
      </c>
      <c r="D100" s="26" t="s">
        <v>92</v>
      </c>
      <c r="E100" s="18" t="s">
        <v>561</v>
      </c>
    </row>
    <row r="101" ht="15.75" customHeight="1">
      <c r="A101" s="7" t="s">
        <v>562</v>
      </c>
      <c r="B101" s="9" t="s">
        <v>28</v>
      </c>
      <c r="C101" s="9" t="s">
        <v>32</v>
      </c>
      <c r="D101" s="12" t="s">
        <v>33</v>
      </c>
      <c r="E101" s="9" t="s">
        <v>567</v>
      </c>
    </row>
    <row r="102" ht="15.75" customHeight="1">
      <c r="A102" s="16" t="s">
        <v>562</v>
      </c>
      <c r="B102" s="18" t="s">
        <v>568</v>
      </c>
      <c r="C102" s="18" t="s">
        <v>535</v>
      </c>
      <c r="D102" s="20"/>
      <c r="E102" s="18" t="s">
        <v>569</v>
      </c>
    </row>
    <row r="103" ht="15.75" customHeight="1">
      <c r="A103" s="7" t="s">
        <v>571</v>
      </c>
      <c r="B103" s="9" t="s">
        <v>28</v>
      </c>
      <c r="C103" s="9" t="s">
        <v>32</v>
      </c>
      <c r="D103" s="12" t="s">
        <v>33</v>
      </c>
      <c r="E103" s="9" t="s">
        <v>575</v>
      </c>
    </row>
    <row r="104" ht="15.75" customHeight="1">
      <c r="A104" s="16" t="s">
        <v>571</v>
      </c>
      <c r="B104" s="18" t="s">
        <v>576</v>
      </c>
      <c r="C104" s="18" t="s">
        <v>32</v>
      </c>
      <c r="D104" s="26" t="s">
        <v>92</v>
      </c>
      <c r="E104" s="18" t="s">
        <v>581</v>
      </c>
    </row>
    <row r="105" ht="15.75" customHeight="1">
      <c r="A105" s="7" t="s">
        <v>571</v>
      </c>
      <c r="B105" s="9" t="s">
        <v>583</v>
      </c>
      <c r="C105" s="9" t="s">
        <v>535</v>
      </c>
      <c r="D105" s="20"/>
      <c r="E105" s="9" t="s">
        <v>586</v>
      </c>
    </row>
    <row r="106" ht="15.75" customHeight="1">
      <c r="A106" s="16" t="s">
        <v>589</v>
      </c>
      <c r="B106" s="18" t="s">
        <v>552</v>
      </c>
      <c r="C106" s="18" t="s">
        <v>32</v>
      </c>
      <c r="D106" s="26" t="s">
        <v>92</v>
      </c>
      <c r="E106" s="18" t="s">
        <v>593</v>
      </c>
    </row>
    <row r="107" ht="15.75" customHeight="1">
      <c r="A107" s="7" t="s">
        <v>596</v>
      </c>
      <c r="B107" s="9" t="s">
        <v>28</v>
      </c>
      <c r="C107" s="9" t="s">
        <v>32</v>
      </c>
      <c r="D107" s="12" t="s">
        <v>33</v>
      </c>
      <c r="E107" s="9" t="s">
        <v>599</v>
      </c>
    </row>
    <row r="108" ht="15.75" customHeight="1">
      <c r="A108" s="16" t="s">
        <v>596</v>
      </c>
      <c r="B108" s="18" t="s">
        <v>602</v>
      </c>
      <c r="C108" s="18" t="s">
        <v>57</v>
      </c>
      <c r="D108" s="20"/>
      <c r="E108" s="18" t="s">
        <v>605</v>
      </c>
    </row>
    <row r="109" ht="15.75" customHeight="1">
      <c r="A109" s="7" t="s">
        <v>596</v>
      </c>
      <c r="B109" s="9" t="s">
        <v>608</v>
      </c>
      <c r="C109" s="9" t="s">
        <v>57</v>
      </c>
      <c r="D109" s="20"/>
      <c r="E109" s="9" t="s">
        <v>612</v>
      </c>
    </row>
    <row r="110" ht="15.75" customHeight="1">
      <c r="A110" s="16" t="s">
        <v>596</v>
      </c>
      <c r="B110" s="18" t="s">
        <v>615</v>
      </c>
      <c r="C110" s="18" t="s">
        <v>57</v>
      </c>
      <c r="D110" s="20"/>
      <c r="E110" s="18"/>
    </row>
    <row r="111" ht="15.75" customHeight="1">
      <c r="A111" s="7" t="s">
        <v>619</v>
      </c>
      <c r="B111" s="9" t="s">
        <v>28</v>
      </c>
      <c r="C111" s="9" t="s">
        <v>32</v>
      </c>
      <c r="D111" s="12" t="s">
        <v>33</v>
      </c>
      <c r="E111" s="9" t="s">
        <v>623</v>
      </c>
    </row>
    <row r="112" ht="15.75" customHeight="1">
      <c r="A112" s="16" t="s">
        <v>619</v>
      </c>
      <c r="B112" s="18" t="s">
        <v>248</v>
      </c>
      <c r="C112" s="18" t="s">
        <v>32</v>
      </c>
      <c r="D112" s="26" t="s">
        <v>92</v>
      </c>
      <c r="E112" s="18" t="s">
        <v>251</v>
      </c>
    </row>
    <row r="113" ht="15.75" customHeight="1">
      <c r="A113" s="7" t="s">
        <v>619</v>
      </c>
      <c r="B113" s="9" t="s">
        <v>632</v>
      </c>
      <c r="C113" s="9" t="s">
        <v>32</v>
      </c>
      <c r="D113" s="26" t="s">
        <v>92</v>
      </c>
      <c r="E113" s="9" t="s">
        <v>636</v>
      </c>
    </row>
    <row r="114" ht="15.75" customHeight="1">
      <c r="A114" s="16" t="s">
        <v>619</v>
      </c>
      <c r="B114" s="18" t="s">
        <v>639</v>
      </c>
      <c r="C114" s="18" t="s">
        <v>380</v>
      </c>
      <c r="D114" s="20"/>
      <c r="E114" s="18" t="s">
        <v>643</v>
      </c>
    </row>
    <row r="115" ht="15.75" customHeight="1">
      <c r="A115" s="7" t="s">
        <v>619</v>
      </c>
      <c r="B115" s="9" t="s">
        <v>645</v>
      </c>
      <c r="C115" s="9" t="s">
        <v>535</v>
      </c>
      <c r="D115" s="20"/>
      <c r="E115" s="9" t="s">
        <v>651</v>
      </c>
    </row>
    <row r="116" ht="15.75" customHeight="1">
      <c r="A116" s="16" t="s">
        <v>654</v>
      </c>
      <c r="B116" s="18" t="s">
        <v>655</v>
      </c>
      <c r="C116" s="18" t="s">
        <v>32</v>
      </c>
      <c r="D116" s="26" t="s">
        <v>92</v>
      </c>
      <c r="E116" s="18" t="s">
        <v>658</v>
      </c>
    </row>
    <row r="117" ht="15.75" customHeight="1">
      <c r="A117" s="7" t="s">
        <v>654</v>
      </c>
      <c r="B117" s="9" t="s">
        <v>663</v>
      </c>
      <c r="C117" s="9" t="s">
        <v>380</v>
      </c>
      <c r="D117" s="20"/>
      <c r="E117" s="9" t="s">
        <v>665</v>
      </c>
    </row>
    <row r="118" ht="15.75" customHeight="1">
      <c r="A118" s="16" t="s">
        <v>668</v>
      </c>
      <c r="B118" s="18" t="s">
        <v>229</v>
      </c>
      <c r="C118" s="18" t="s">
        <v>32</v>
      </c>
      <c r="D118" s="26" t="s">
        <v>92</v>
      </c>
      <c r="E118" s="18" t="s">
        <v>671</v>
      </c>
    </row>
    <row r="119" ht="15.75" customHeight="1">
      <c r="A119" s="7" t="s">
        <v>668</v>
      </c>
      <c r="B119" s="9" t="s">
        <v>674</v>
      </c>
      <c r="C119" s="9" t="s">
        <v>380</v>
      </c>
      <c r="D119" s="20"/>
      <c r="E119" s="9" t="s">
        <v>676</v>
      </c>
    </row>
    <row r="120" ht="15.75" customHeight="1">
      <c r="A120" s="16" t="s">
        <v>678</v>
      </c>
      <c r="B120" s="18" t="s">
        <v>28</v>
      </c>
      <c r="C120" s="18" t="s">
        <v>32</v>
      </c>
      <c r="D120" s="12" t="s">
        <v>33</v>
      </c>
      <c r="E120" s="18"/>
    </row>
    <row r="121" ht="15.75" customHeight="1">
      <c r="A121" s="7" t="s">
        <v>678</v>
      </c>
      <c r="B121" s="9" t="s">
        <v>168</v>
      </c>
      <c r="C121" s="9" t="s">
        <v>32</v>
      </c>
      <c r="D121" s="26" t="s">
        <v>92</v>
      </c>
      <c r="E121" s="9" t="s">
        <v>679</v>
      </c>
    </row>
    <row r="122" ht="15.75" customHeight="1">
      <c r="A122" s="16" t="s">
        <v>681</v>
      </c>
      <c r="B122" s="18" t="s">
        <v>28</v>
      </c>
      <c r="C122" s="18" t="s">
        <v>32</v>
      </c>
      <c r="D122" s="12" t="s">
        <v>33</v>
      </c>
      <c r="E122" s="18" t="s">
        <v>683</v>
      </c>
    </row>
    <row r="123" ht="15.75" customHeight="1">
      <c r="A123" s="7" t="s">
        <v>681</v>
      </c>
      <c r="B123" s="9" t="s">
        <v>685</v>
      </c>
      <c r="C123" s="9" t="s">
        <v>32</v>
      </c>
      <c r="D123" s="26" t="s">
        <v>92</v>
      </c>
      <c r="E123" s="9" t="s">
        <v>688</v>
      </c>
    </row>
    <row r="124" ht="15.75" customHeight="1">
      <c r="A124" s="16" t="s">
        <v>694</v>
      </c>
      <c r="B124" s="18" t="s">
        <v>28</v>
      </c>
      <c r="C124" s="18" t="s">
        <v>32</v>
      </c>
      <c r="D124" s="12" t="s">
        <v>33</v>
      </c>
      <c r="E124" s="18" t="s">
        <v>697</v>
      </c>
    </row>
    <row r="125" ht="15.75" customHeight="1">
      <c r="A125" s="7" t="s">
        <v>694</v>
      </c>
      <c r="B125" s="9" t="s">
        <v>168</v>
      </c>
      <c r="C125" s="9" t="s">
        <v>32</v>
      </c>
      <c r="D125" s="26" t="s">
        <v>92</v>
      </c>
      <c r="E125" s="9" t="s">
        <v>171</v>
      </c>
    </row>
    <row r="126" ht="15.75" customHeight="1">
      <c r="A126" s="16" t="s">
        <v>700</v>
      </c>
      <c r="B126" s="18" t="s">
        <v>28</v>
      </c>
      <c r="C126" s="18" t="s">
        <v>32</v>
      </c>
      <c r="D126" s="12" t="s">
        <v>33</v>
      </c>
      <c r="E126" s="18" t="s">
        <v>702</v>
      </c>
    </row>
    <row r="127" ht="15.75" customHeight="1">
      <c r="A127" s="7" t="s">
        <v>700</v>
      </c>
      <c r="B127" s="9" t="s">
        <v>704</v>
      </c>
      <c r="C127" s="9" t="s">
        <v>32</v>
      </c>
      <c r="D127" s="26" t="s">
        <v>92</v>
      </c>
      <c r="E127" s="9" t="s">
        <v>705</v>
      </c>
    </row>
    <row r="128" ht="15.75" customHeight="1">
      <c r="A128" s="16" t="s">
        <v>707</v>
      </c>
      <c r="B128" s="18" t="s">
        <v>28</v>
      </c>
      <c r="C128" s="18" t="s">
        <v>32</v>
      </c>
      <c r="D128" s="12" t="s">
        <v>33</v>
      </c>
      <c r="E128" s="18" t="s">
        <v>709</v>
      </c>
    </row>
    <row r="129" ht="15.75" customHeight="1">
      <c r="A129" s="7" t="s">
        <v>707</v>
      </c>
      <c r="B129" s="9" t="s">
        <v>712</v>
      </c>
      <c r="C129" s="9" t="s">
        <v>32</v>
      </c>
      <c r="D129" s="26" t="s">
        <v>92</v>
      </c>
      <c r="E129" s="9" t="s">
        <v>713</v>
      </c>
    </row>
    <row r="130" ht="15.75" customHeight="1">
      <c r="A130" s="16" t="s">
        <v>714</v>
      </c>
      <c r="B130" s="18" t="s">
        <v>716</v>
      </c>
      <c r="C130" s="18" t="s">
        <v>32</v>
      </c>
      <c r="D130" s="26" t="s">
        <v>92</v>
      </c>
      <c r="E130" s="18" t="s">
        <v>718</v>
      </c>
    </row>
    <row r="131" ht="15.75" customHeight="1">
      <c r="A131" s="7" t="s">
        <v>469</v>
      </c>
      <c r="B131" s="9" t="s">
        <v>719</v>
      </c>
      <c r="C131" s="9" t="s">
        <v>32</v>
      </c>
      <c r="D131" s="26" t="s">
        <v>92</v>
      </c>
      <c r="E131" s="9" t="s">
        <v>720</v>
      </c>
    </row>
    <row r="132" ht="15.75" customHeight="1">
      <c r="A132" s="16" t="s">
        <v>469</v>
      </c>
      <c r="B132" s="18" t="s">
        <v>721</v>
      </c>
      <c r="C132" s="18" t="s">
        <v>535</v>
      </c>
      <c r="D132" s="20"/>
      <c r="E132" s="18" t="s">
        <v>722</v>
      </c>
    </row>
    <row r="133" ht="15.75" customHeight="1">
      <c r="A133" s="7" t="s">
        <v>723</v>
      </c>
      <c r="B133" s="9" t="s">
        <v>28</v>
      </c>
      <c r="C133" s="9" t="s">
        <v>32</v>
      </c>
      <c r="D133" s="12" t="s">
        <v>33</v>
      </c>
      <c r="E133" s="9"/>
    </row>
    <row r="134" ht="15.75" customHeight="1">
      <c r="A134" s="16" t="s">
        <v>723</v>
      </c>
      <c r="B134" s="18" t="s">
        <v>724</v>
      </c>
      <c r="C134" s="18" t="s">
        <v>32</v>
      </c>
      <c r="D134" s="26" t="s">
        <v>92</v>
      </c>
      <c r="E134" s="18" t="s">
        <v>725</v>
      </c>
    </row>
    <row r="135" ht="15.75" customHeight="1">
      <c r="A135" s="7" t="s">
        <v>726</v>
      </c>
      <c r="B135" s="9" t="s">
        <v>28</v>
      </c>
      <c r="C135" s="9" t="s">
        <v>32</v>
      </c>
      <c r="D135" s="12" t="s">
        <v>33</v>
      </c>
      <c r="E135" s="9" t="s">
        <v>727</v>
      </c>
    </row>
    <row r="136" ht="15.75" customHeight="1">
      <c r="A136" s="16" t="s">
        <v>726</v>
      </c>
      <c r="B136" s="18" t="s">
        <v>728</v>
      </c>
      <c r="C136" s="18" t="s">
        <v>380</v>
      </c>
      <c r="D136" s="20"/>
      <c r="E136" s="18" t="s">
        <v>729</v>
      </c>
    </row>
    <row r="137" ht="15.75" customHeight="1">
      <c r="A137" s="7" t="s">
        <v>730</v>
      </c>
      <c r="B137" s="9" t="s">
        <v>28</v>
      </c>
      <c r="C137" s="9" t="s">
        <v>32</v>
      </c>
      <c r="D137" s="12" t="s">
        <v>33</v>
      </c>
      <c r="E137" s="9" t="s">
        <v>731</v>
      </c>
    </row>
    <row r="138" ht="15.75" customHeight="1">
      <c r="A138" s="16" t="s">
        <v>730</v>
      </c>
      <c r="B138" s="18" t="s">
        <v>732</v>
      </c>
      <c r="C138" s="18" t="s">
        <v>57</v>
      </c>
      <c r="D138" s="20"/>
      <c r="E138" s="18" t="s">
        <v>733</v>
      </c>
    </row>
    <row r="139" ht="15.75" customHeight="1">
      <c r="A139" s="7" t="s">
        <v>734</v>
      </c>
      <c r="B139" s="9" t="s">
        <v>28</v>
      </c>
      <c r="C139" s="9" t="s">
        <v>32</v>
      </c>
      <c r="D139" s="12" t="s">
        <v>33</v>
      </c>
      <c r="E139" s="9" t="s">
        <v>735</v>
      </c>
    </row>
    <row r="140" ht="15.75" customHeight="1">
      <c r="A140" s="16" t="s">
        <v>734</v>
      </c>
      <c r="B140" s="18" t="s">
        <v>736</v>
      </c>
      <c r="C140" s="18" t="s">
        <v>57</v>
      </c>
      <c r="D140" s="20"/>
      <c r="E140" s="18"/>
    </row>
    <row r="141" ht="15.75" customHeight="1">
      <c r="A141" s="7" t="s">
        <v>734</v>
      </c>
      <c r="B141" s="9" t="s">
        <v>737</v>
      </c>
      <c r="C141" s="9" t="s">
        <v>238</v>
      </c>
      <c r="D141" s="20"/>
      <c r="E141" s="9" t="s">
        <v>738</v>
      </c>
    </row>
    <row r="142" ht="15.75" customHeight="1">
      <c r="A142" s="16" t="s">
        <v>734</v>
      </c>
      <c r="B142" s="18" t="s">
        <v>739</v>
      </c>
      <c r="C142" s="18" t="s">
        <v>238</v>
      </c>
      <c r="D142" s="20"/>
      <c r="E142" s="18"/>
    </row>
    <row r="143" ht="15.75" customHeight="1">
      <c r="A143" s="7" t="s">
        <v>734</v>
      </c>
      <c r="B143" s="9" t="s">
        <v>740</v>
      </c>
      <c r="C143" s="9" t="s">
        <v>238</v>
      </c>
      <c r="D143" s="20"/>
      <c r="E143" s="9"/>
    </row>
    <row r="144" ht="15.75" customHeight="1">
      <c r="A144" s="16" t="s">
        <v>734</v>
      </c>
      <c r="B144" s="18" t="s">
        <v>741</v>
      </c>
      <c r="C144" s="18" t="s">
        <v>380</v>
      </c>
      <c r="D144" s="20"/>
      <c r="E144" s="18" t="s">
        <v>742</v>
      </c>
    </row>
    <row r="145" ht="15.75" customHeight="1">
      <c r="A145" s="7" t="s">
        <v>743</v>
      </c>
      <c r="B145" s="9" t="s">
        <v>28</v>
      </c>
      <c r="C145" s="9" t="s">
        <v>32</v>
      </c>
      <c r="D145" s="12" t="s">
        <v>33</v>
      </c>
      <c r="E145" s="9" t="s">
        <v>744</v>
      </c>
    </row>
    <row r="146" ht="15.75" customHeight="1">
      <c r="A146" s="16" t="s">
        <v>743</v>
      </c>
      <c r="B146" s="18" t="s">
        <v>88</v>
      </c>
      <c r="C146" s="18" t="s">
        <v>32</v>
      </c>
      <c r="D146" s="26" t="s">
        <v>92</v>
      </c>
      <c r="E146" s="18" t="s">
        <v>126</v>
      </c>
    </row>
    <row r="147" ht="15.75" customHeight="1">
      <c r="A147" s="7" t="s">
        <v>743</v>
      </c>
      <c r="B147" s="9" t="s">
        <v>745</v>
      </c>
      <c r="C147" s="9" t="s">
        <v>32</v>
      </c>
      <c r="D147" s="26" t="s">
        <v>92</v>
      </c>
      <c r="E147" s="9" t="s">
        <v>746</v>
      </c>
    </row>
    <row r="148" ht="15.75" customHeight="1">
      <c r="A148" s="16" t="s">
        <v>743</v>
      </c>
      <c r="B148" s="18" t="s">
        <v>747</v>
      </c>
      <c r="C148" s="18" t="s">
        <v>380</v>
      </c>
      <c r="D148" s="20"/>
      <c r="E148" s="18" t="s">
        <v>748</v>
      </c>
    </row>
    <row r="149" ht="15.75" customHeight="1">
      <c r="A149" s="7" t="s">
        <v>743</v>
      </c>
      <c r="B149" s="9" t="s">
        <v>367</v>
      </c>
      <c r="C149" s="9" t="s">
        <v>32</v>
      </c>
      <c r="D149" s="26" t="s">
        <v>92</v>
      </c>
      <c r="E149" s="9" t="s">
        <v>749</v>
      </c>
    </row>
    <row r="150" ht="15.75" customHeight="1">
      <c r="A150" s="16" t="s">
        <v>750</v>
      </c>
      <c r="B150" s="18" t="s">
        <v>88</v>
      </c>
      <c r="C150" s="18" t="s">
        <v>32</v>
      </c>
      <c r="D150" s="26" t="s">
        <v>92</v>
      </c>
      <c r="E150" s="18" t="s">
        <v>751</v>
      </c>
    </row>
    <row r="151" ht="15.75" customHeight="1">
      <c r="A151" s="7" t="s">
        <v>752</v>
      </c>
      <c r="B151" s="9" t="s">
        <v>753</v>
      </c>
      <c r="C151" s="9" t="s">
        <v>380</v>
      </c>
      <c r="D151" s="20"/>
      <c r="E151" s="9" t="s">
        <v>754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151"/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2.0"/>
    <col customWidth="1" min="3" max="3" width="40.0"/>
    <col customWidth="1" min="4" max="4" width="14.0"/>
    <col customWidth="1" min="5" max="5" width="24.0"/>
    <col customWidth="1" min="6" max="6" width="7.0"/>
    <col customWidth="1" min="7" max="26" width="8.71"/>
  </cols>
  <sheetData>
    <row r="1" ht="27.75" customHeight="1">
      <c r="A1" s="1" t="s">
        <v>42</v>
      </c>
    </row>
    <row r="2" ht="15.75" customHeight="1">
      <c r="A2" s="3" t="s">
        <v>503</v>
      </c>
    </row>
    <row r="4" ht="25.5" customHeight="1">
      <c r="A4" s="5" t="s">
        <v>508</v>
      </c>
      <c r="B4" s="5" t="s">
        <v>510</v>
      </c>
      <c r="C4" s="5" t="s">
        <v>513</v>
      </c>
      <c r="D4" s="5" t="s">
        <v>515</v>
      </c>
      <c r="E4" s="5" t="s">
        <v>517</v>
      </c>
      <c r="F4" s="5" t="s">
        <v>25</v>
      </c>
    </row>
    <row r="5">
      <c r="A5" s="7" t="s">
        <v>522</v>
      </c>
      <c r="B5" s="9" t="s">
        <v>523</v>
      </c>
      <c r="C5" s="9" t="s">
        <v>526</v>
      </c>
      <c r="D5" s="9" t="s">
        <v>527</v>
      </c>
      <c r="E5" s="9" t="s">
        <v>529</v>
      </c>
      <c r="F5" s="10" t="s">
        <v>318</v>
      </c>
    </row>
    <row r="6">
      <c r="A6" s="16" t="s">
        <v>536</v>
      </c>
      <c r="B6" s="18" t="s">
        <v>538</v>
      </c>
      <c r="C6" s="18" t="s">
        <v>541</v>
      </c>
      <c r="D6" s="18" t="s">
        <v>527</v>
      </c>
      <c r="E6" s="18" t="s">
        <v>546</v>
      </c>
      <c r="F6" s="17" t="s">
        <v>152</v>
      </c>
    </row>
    <row r="7">
      <c r="A7" s="7" t="s">
        <v>547</v>
      </c>
      <c r="B7" s="9" t="s">
        <v>538</v>
      </c>
      <c r="C7" s="9" t="s">
        <v>550</v>
      </c>
      <c r="D7" s="9" t="s">
        <v>527</v>
      </c>
      <c r="E7" s="9" t="s">
        <v>551</v>
      </c>
      <c r="F7" s="10" t="s">
        <v>152</v>
      </c>
    </row>
    <row r="8">
      <c r="A8" s="16" t="s">
        <v>553</v>
      </c>
      <c r="B8" s="18" t="s">
        <v>538</v>
      </c>
      <c r="C8" s="18" t="s">
        <v>556</v>
      </c>
      <c r="D8" s="18" t="s">
        <v>558</v>
      </c>
      <c r="E8" s="18" t="s">
        <v>560</v>
      </c>
      <c r="F8" s="17" t="s">
        <v>117</v>
      </c>
    </row>
    <row r="9">
      <c r="A9" s="7" t="s">
        <v>418</v>
      </c>
      <c r="B9" s="9" t="s">
        <v>564</v>
      </c>
      <c r="C9" s="9" t="s">
        <v>565</v>
      </c>
      <c r="D9" s="9" t="s">
        <v>558</v>
      </c>
      <c r="E9" s="9" t="s">
        <v>570</v>
      </c>
      <c r="F9" s="10" t="s">
        <v>222</v>
      </c>
    </row>
    <row r="10">
      <c r="A10" s="16" t="s">
        <v>574</v>
      </c>
      <c r="B10" s="18" t="s">
        <v>564</v>
      </c>
      <c r="C10" s="18" t="s">
        <v>577</v>
      </c>
      <c r="D10" s="18" t="s">
        <v>527</v>
      </c>
      <c r="E10" s="18" t="s">
        <v>580</v>
      </c>
      <c r="F10" s="17" t="s">
        <v>222</v>
      </c>
    </row>
    <row r="11">
      <c r="A11" s="7" t="s">
        <v>582</v>
      </c>
      <c r="B11" s="9" t="s">
        <v>459</v>
      </c>
      <c r="C11" s="9" t="s">
        <v>584</v>
      </c>
      <c r="D11" s="9" t="s">
        <v>558</v>
      </c>
      <c r="E11" s="9" t="s">
        <v>587</v>
      </c>
      <c r="F11" s="10" t="s">
        <v>117</v>
      </c>
    </row>
    <row r="12">
      <c r="A12" s="16" t="s">
        <v>590</v>
      </c>
      <c r="B12" s="18" t="s">
        <v>591</v>
      </c>
      <c r="C12" s="18" t="s">
        <v>592</v>
      </c>
      <c r="D12" s="18" t="s">
        <v>558</v>
      </c>
      <c r="E12" s="18" t="s">
        <v>595</v>
      </c>
      <c r="F12" s="17" t="s">
        <v>209</v>
      </c>
    </row>
    <row r="13">
      <c r="A13" s="7" t="s">
        <v>598</v>
      </c>
      <c r="B13" s="9" t="s">
        <v>217</v>
      </c>
      <c r="C13" s="9" t="s">
        <v>600</v>
      </c>
      <c r="D13" s="9" t="s">
        <v>558</v>
      </c>
      <c r="E13" s="9" t="s">
        <v>603</v>
      </c>
      <c r="F13" s="10" t="s">
        <v>425</v>
      </c>
    </row>
    <row r="14">
      <c r="A14" s="16" t="s">
        <v>606</v>
      </c>
      <c r="B14" s="18" t="s">
        <v>217</v>
      </c>
      <c r="C14" s="18" t="s">
        <v>607</v>
      </c>
      <c r="D14" s="18" t="s">
        <v>558</v>
      </c>
      <c r="E14" s="18" t="s">
        <v>610</v>
      </c>
      <c r="F14" s="17" t="s">
        <v>425</v>
      </c>
    </row>
    <row r="15">
      <c r="A15" s="7" t="s">
        <v>613</v>
      </c>
      <c r="B15" s="9" t="s">
        <v>217</v>
      </c>
      <c r="C15" s="9" t="s">
        <v>614</v>
      </c>
      <c r="D15" s="9" t="s">
        <v>558</v>
      </c>
      <c r="E15" s="9" t="s">
        <v>616</v>
      </c>
      <c r="F15" s="10" t="s">
        <v>425</v>
      </c>
    </row>
    <row r="16">
      <c r="A16" s="16" t="s">
        <v>620</v>
      </c>
      <c r="B16" s="18" t="s">
        <v>621</v>
      </c>
      <c r="C16" s="18" t="s">
        <v>622</v>
      </c>
      <c r="D16" s="18" t="s">
        <v>558</v>
      </c>
      <c r="E16" s="18" t="s">
        <v>624</v>
      </c>
      <c r="F16" s="17" t="s">
        <v>209</v>
      </c>
    </row>
    <row r="17">
      <c r="A17" s="7" t="s">
        <v>476</v>
      </c>
      <c r="B17" s="9" t="s">
        <v>627</v>
      </c>
      <c r="C17" s="9" t="s">
        <v>628</v>
      </c>
      <c r="D17" s="9" t="s">
        <v>558</v>
      </c>
      <c r="E17" s="9" t="s">
        <v>629</v>
      </c>
      <c r="F17" s="10" t="s">
        <v>209</v>
      </c>
    </row>
    <row r="18">
      <c r="A18" s="16" t="s">
        <v>481</v>
      </c>
      <c r="B18" s="18" t="s">
        <v>627</v>
      </c>
      <c r="C18" s="18" t="s">
        <v>633</v>
      </c>
      <c r="D18" s="18" t="s">
        <v>634</v>
      </c>
      <c r="E18" s="18" t="s">
        <v>635</v>
      </c>
      <c r="F18" s="17" t="s">
        <v>209</v>
      </c>
    </row>
    <row r="19">
      <c r="A19" s="7" t="s">
        <v>491</v>
      </c>
      <c r="B19" s="9" t="s">
        <v>638</v>
      </c>
      <c r="C19" s="9" t="s">
        <v>640</v>
      </c>
      <c r="D19" s="9" t="s">
        <v>642</v>
      </c>
      <c r="E19" s="9" t="s">
        <v>644</v>
      </c>
      <c r="F19" s="10" t="s">
        <v>209</v>
      </c>
    </row>
    <row r="20">
      <c r="A20" s="16" t="s">
        <v>646</v>
      </c>
      <c r="B20" s="18" t="s">
        <v>647</v>
      </c>
      <c r="C20" s="18" t="s">
        <v>649</v>
      </c>
      <c r="D20" s="18" t="s">
        <v>652</v>
      </c>
      <c r="E20" s="18" t="s">
        <v>653</v>
      </c>
      <c r="F20" s="17" t="s">
        <v>117</v>
      </c>
    </row>
    <row r="21" ht="15.75" customHeight="1">
      <c r="A21" s="7" t="s">
        <v>656</v>
      </c>
      <c r="B21" s="9" t="s">
        <v>657</v>
      </c>
      <c r="C21" s="9" t="s">
        <v>659</v>
      </c>
      <c r="D21" s="9" t="s">
        <v>558</v>
      </c>
      <c r="E21" s="9" t="s">
        <v>661</v>
      </c>
      <c r="F21" s="10" t="s">
        <v>209</v>
      </c>
    </row>
    <row r="22" ht="15.75" customHeight="1">
      <c r="A22" s="16" t="s">
        <v>664</v>
      </c>
      <c r="B22" s="18" t="s">
        <v>266</v>
      </c>
      <c r="C22" s="18" t="s">
        <v>666</v>
      </c>
      <c r="D22" s="18" t="s">
        <v>558</v>
      </c>
      <c r="E22" s="18" t="s">
        <v>624</v>
      </c>
      <c r="F22" s="17" t="s">
        <v>117</v>
      </c>
    </row>
    <row r="23" ht="15.75" customHeight="1">
      <c r="A23" s="7" t="s">
        <v>670</v>
      </c>
      <c r="B23" s="9" t="s">
        <v>523</v>
      </c>
      <c r="C23" s="9" t="s">
        <v>672</v>
      </c>
      <c r="D23" s="9" t="s">
        <v>527</v>
      </c>
      <c r="E23" s="9" t="s">
        <v>673</v>
      </c>
      <c r="F23" s="10" t="s">
        <v>318</v>
      </c>
    </row>
    <row r="24" ht="15.75" customHeight="1">
      <c r="A24" s="16" t="s">
        <v>675</v>
      </c>
      <c r="B24" s="18" t="s">
        <v>523</v>
      </c>
      <c r="C24" s="18" t="s">
        <v>677</v>
      </c>
      <c r="D24" s="18" t="s">
        <v>527</v>
      </c>
      <c r="E24" s="18" t="s">
        <v>673</v>
      </c>
      <c r="F24" s="17" t="s">
        <v>318</v>
      </c>
    </row>
    <row r="25" ht="15.75" customHeight="1">
      <c r="A25" s="7" t="s">
        <v>680</v>
      </c>
      <c r="B25" s="9" t="s">
        <v>523</v>
      </c>
      <c r="C25" s="9" t="s">
        <v>682</v>
      </c>
      <c r="D25" s="9" t="s">
        <v>527</v>
      </c>
      <c r="E25" s="9" t="s">
        <v>673</v>
      </c>
      <c r="F25" s="10" t="s">
        <v>318</v>
      </c>
    </row>
    <row r="26" ht="15.75" customHeight="1">
      <c r="A26" s="16" t="s">
        <v>684</v>
      </c>
      <c r="B26" s="18" t="s">
        <v>538</v>
      </c>
      <c r="C26" s="18" t="s">
        <v>686</v>
      </c>
      <c r="D26" s="18" t="s">
        <v>527</v>
      </c>
      <c r="E26" s="18" t="s">
        <v>687</v>
      </c>
      <c r="F26" s="17" t="s">
        <v>117</v>
      </c>
    </row>
    <row r="27" ht="15.75" customHeight="1">
      <c r="A27" s="7" t="s">
        <v>690</v>
      </c>
      <c r="B27" s="9" t="s">
        <v>657</v>
      </c>
      <c r="C27" s="9" t="s">
        <v>692</v>
      </c>
      <c r="D27" s="9" t="s">
        <v>527</v>
      </c>
      <c r="E27" s="9" t="s">
        <v>693</v>
      </c>
      <c r="F27" s="10" t="s">
        <v>209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27"/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6.0"/>
    <col customWidth="1" min="3" max="3" width="52.0"/>
    <col customWidth="1" min="4" max="5" width="11.0"/>
    <col customWidth="1" min="6" max="6" width="8.0"/>
    <col customWidth="1" min="7" max="26" width="8.71"/>
  </cols>
  <sheetData>
    <row r="1" ht="27.75" customHeight="1">
      <c r="A1" s="1" t="s">
        <v>755</v>
      </c>
    </row>
    <row r="2" ht="15.75" customHeight="1">
      <c r="A2" s="3" t="s">
        <v>756</v>
      </c>
    </row>
    <row r="4" ht="25.5" customHeight="1">
      <c r="A4" s="5" t="s">
        <v>25</v>
      </c>
      <c r="B4" s="5" t="s">
        <v>757</v>
      </c>
      <c r="C4" s="5" t="s">
        <v>758</v>
      </c>
      <c r="D4" s="5" t="s">
        <v>759</v>
      </c>
      <c r="E4" s="5" t="s">
        <v>760</v>
      </c>
      <c r="F4" s="5" t="s">
        <v>761</v>
      </c>
    </row>
    <row r="5">
      <c r="A5" s="33" t="s">
        <v>762</v>
      </c>
      <c r="B5" s="15" t="s">
        <v>763</v>
      </c>
      <c r="C5" s="15" t="s">
        <v>764</v>
      </c>
      <c r="D5" s="15" t="s">
        <v>34</v>
      </c>
      <c r="E5" s="15" t="s">
        <v>624</v>
      </c>
      <c r="F5" s="34">
        <v>5.0</v>
      </c>
    </row>
    <row r="6">
      <c r="A6" s="35" t="s">
        <v>765</v>
      </c>
      <c r="B6" s="11" t="s">
        <v>766</v>
      </c>
      <c r="C6" s="11" t="s">
        <v>767</v>
      </c>
      <c r="D6" s="11" t="s">
        <v>109</v>
      </c>
      <c r="E6" s="11" t="s">
        <v>768</v>
      </c>
      <c r="F6" s="34">
        <v>9.0</v>
      </c>
    </row>
    <row r="7">
      <c r="A7" s="33" t="s">
        <v>770</v>
      </c>
      <c r="B7" s="15" t="s">
        <v>771</v>
      </c>
      <c r="C7" s="15" t="s">
        <v>772</v>
      </c>
      <c r="D7" s="15" t="s">
        <v>773</v>
      </c>
      <c r="E7" s="15" t="s">
        <v>768</v>
      </c>
      <c r="F7" s="34">
        <v>9.0</v>
      </c>
    </row>
    <row r="8">
      <c r="A8" s="35" t="s">
        <v>774</v>
      </c>
      <c r="B8" s="11" t="s">
        <v>771</v>
      </c>
      <c r="C8" s="11" t="s">
        <v>776</v>
      </c>
      <c r="D8" s="11" t="s">
        <v>564</v>
      </c>
      <c r="E8" s="11" t="s">
        <v>777</v>
      </c>
      <c r="F8" s="34">
        <v>9.0</v>
      </c>
    </row>
    <row r="9">
      <c r="A9" s="33" t="s">
        <v>778</v>
      </c>
      <c r="B9" s="15" t="s">
        <v>779</v>
      </c>
      <c r="C9" s="15" t="s">
        <v>786</v>
      </c>
      <c r="D9" s="15" t="s">
        <v>523</v>
      </c>
      <c r="E9" s="15" t="s">
        <v>768</v>
      </c>
      <c r="F9" s="34">
        <v>10.0</v>
      </c>
    </row>
    <row r="10">
      <c r="A10" s="35" t="s">
        <v>788</v>
      </c>
      <c r="B10" s="11" t="s">
        <v>789</v>
      </c>
      <c r="C10" s="11" t="s">
        <v>790</v>
      </c>
      <c r="D10" s="11" t="s">
        <v>791</v>
      </c>
      <c r="E10" s="11" t="s">
        <v>792</v>
      </c>
      <c r="F10" s="34">
        <v>7.0</v>
      </c>
    </row>
    <row r="11">
      <c r="A11" s="33" t="s">
        <v>793</v>
      </c>
      <c r="B11" s="15" t="s">
        <v>791</v>
      </c>
      <c r="C11" s="15" t="s">
        <v>794</v>
      </c>
      <c r="D11" s="15" t="s">
        <v>791</v>
      </c>
      <c r="E11" s="15" t="s">
        <v>777</v>
      </c>
      <c r="F11" s="34">
        <v>9.0</v>
      </c>
    </row>
    <row r="12">
      <c r="E12" s="30" t="s">
        <v>797</v>
      </c>
      <c r="F12" s="31">
        <f>SUM(F5:F11)</f>
        <v>58</v>
      </c>
    </row>
    <row r="13">
      <c r="E13" s="3" t="s">
        <v>805</v>
      </c>
      <c r="F13" s="43">
        <f>ROUND(SUM(F5:F11)*0.7,0)</f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5.0"/>
    <col customWidth="1" min="3" max="3" width="46.0"/>
    <col customWidth="1" min="4" max="4" width="22.0"/>
    <col customWidth="1" min="5" max="5" width="6.0"/>
    <col customWidth="1" min="6" max="6" width="9.0"/>
    <col customWidth="1" min="7" max="7" width="11.0"/>
    <col customWidth="1" min="8" max="26" width="8.71"/>
  </cols>
  <sheetData>
    <row r="1" ht="27.75" customHeight="1">
      <c r="A1" s="1" t="s">
        <v>769</v>
      </c>
    </row>
    <row r="2" ht="15.75" customHeight="1">
      <c r="A2" s="3" t="s">
        <v>775</v>
      </c>
    </row>
    <row r="4" ht="25.5" customHeight="1">
      <c r="A4" s="5" t="s">
        <v>780</v>
      </c>
      <c r="B4" s="5" t="s">
        <v>510</v>
      </c>
      <c r="C4" s="5" t="s">
        <v>781</v>
      </c>
      <c r="D4" s="5" t="s">
        <v>782</v>
      </c>
      <c r="E4" s="5" t="s">
        <v>783</v>
      </c>
      <c r="F4" s="5" t="s">
        <v>784</v>
      </c>
      <c r="G4" s="5" t="s">
        <v>785</v>
      </c>
    </row>
    <row r="5">
      <c r="A5" s="36" t="s">
        <v>787</v>
      </c>
      <c r="B5" s="37" t="s">
        <v>795</v>
      </c>
      <c r="C5" s="37" t="s">
        <v>796</v>
      </c>
      <c r="D5" s="37" t="s">
        <v>798</v>
      </c>
      <c r="E5" s="38" t="s">
        <v>799</v>
      </c>
      <c r="F5" s="39" t="s">
        <v>800</v>
      </c>
      <c r="G5" s="37" t="s">
        <v>801</v>
      </c>
    </row>
    <row r="6">
      <c r="A6" s="40" t="s">
        <v>802</v>
      </c>
      <c r="B6" s="41" t="s">
        <v>795</v>
      </c>
      <c r="C6" s="41" t="s">
        <v>804</v>
      </c>
      <c r="D6" s="41" t="s">
        <v>806</v>
      </c>
      <c r="E6" s="38" t="s">
        <v>799</v>
      </c>
      <c r="F6" s="42" t="s">
        <v>807</v>
      </c>
      <c r="G6" s="41" t="s">
        <v>801</v>
      </c>
    </row>
    <row r="7">
      <c r="A7" s="36" t="s">
        <v>809</v>
      </c>
      <c r="B7" s="37" t="s">
        <v>795</v>
      </c>
      <c r="C7" s="37" t="s">
        <v>810</v>
      </c>
      <c r="D7" s="37" t="s">
        <v>646</v>
      </c>
      <c r="E7" s="38" t="s">
        <v>799</v>
      </c>
      <c r="F7" s="39" t="s">
        <v>800</v>
      </c>
      <c r="G7" s="37" t="s">
        <v>801</v>
      </c>
    </row>
    <row r="8">
      <c r="A8" s="40" t="s">
        <v>812</v>
      </c>
      <c r="B8" s="41" t="s">
        <v>795</v>
      </c>
      <c r="C8" s="41" t="s">
        <v>814</v>
      </c>
      <c r="D8" s="41" t="s">
        <v>815</v>
      </c>
      <c r="E8" s="38" t="s">
        <v>799</v>
      </c>
      <c r="F8" s="39" t="s">
        <v>800</v>
      </c>
      <c r="G8" s="41" t="s">
        <v>817</v>
      </c>
    </row>
    <row r="9">
      <c r="A9" s="36" t="s">
        <v>818</v>
      </c>
      <c r="B9" s="37" t="s">
        <v>795</v>
      </c>
      <c r="C9" s="37" t="s">
        <v>820</v>
      </c>
      <c r="D9" s="37" t="s">
        <v>821</v>
      </c>
      <c r="E9" s="38" t="s">
        <v>799</v>
      </c>
      <c r="F9" s="38" t="s">
        <v>822</v>
      </c>
      <c r="G9" s="37" t="s">
        <v>801</v>
      </c>
    </row>
    <row r="10">
      <c r="A10" s="40" t="s">
        <v>824</v>
      </c>
      <c r="B10" s="41" t="s">
        <v>795</v>
      </c>
      <c r="C10" s="41" t="s">
        <v>825</v>
      </c>
      <c r="D10" s="41" t="s">
        <v>806</v>
      </c>
      <c r="E10" s="38" t="s">
        <v>799</v>
      </c>
      <c r="F10" s="42" t="s">
        <v>807</v>
      </c>
      <c r="G10" s="41" t="s">
        <v>801</v>
      </c>
    </row>
    <row r="11">
      <c r="A11" s="36" t="s">
        <v>826</v>
      </c>
      <c r="B11" s="37" t="s">
        <v>795</v>
      </c>
      <c r="C11" s="37" t="s">
        <v>827</v>
      </c>
      <c r="D11" s="37" t="s">
        <v>828</v>
      </c>
      <c r="E11" s="38" t="s">
        <v>799</v>
      </c>
      <c r="F11" s="42" t="s">
        <v>807</v>
      </c>
      <c r="G11" s="37" t="s">
        <v>801</v>
      </c>
    </row>
    <row r="12">
      <c r="A12" s="40" t="s">
        <v>830</v>
      </c>
      <c r="B12" s="41" t="s">
        <v>795</v>
      </c>
      <c r="C12" s="41" t="s">
        <v>831</v>
      </c>
      <c r="D12" s="41" t="s">
        <v>806</v>
      </c>
      <c r="E12" s="38" t="s">
        <v>799</v>
      </c>
      <c r="F12" s="42" t="s">
        <v>807</v>
      </c>
      <c r="G12" s="41" t="s">
        <v>817</v>
      </c>
    </row>
    <row r="13">
      <c r="A13" s="36" t="s">
        <v>833</v>
      </c>
      <c r="B13" s="37" t="s">
        <v>795</v>
      </c>
      <c r="C13" s="37" t="s">
        <v>835</v>
      </c>
      <c r="D13" s="37" t="s">
        <v>836</v>
      </c>
      <c r="E13" s="42" t="s">
        <v>837</v>
      </c>
      <c r="F13" s="42" t="s">
        <v>807</v>
      </c>
      <c r="G13" s="37" t="s">
        <v>801</v>
      </c>
    </row>
    <row r="14">
      <c r="A14" s="40" t="s">
        <v>838</v>
      </c>
      <c r="B14" s="41" t="s">
        <v>839</v>
      </c>
      <c r="C14" s="41" t="s">
        <v>840</v>
      </c>
      <c r="D14" s="41" t="s">
        <v>842</v>
      </c>
      <c r="E14" s="38" t="s">
        <v>799</v>
      </c>
      <c r="F14" s="42" t="s">
        <v>807</v>
      </c>
      <c r="G14" s="41" t="s">
        <v>109</v>
      </c>
    </row>
    <row r="15">
      <c r="A15" s="36" t="s">
        <v>844</v>
      </c>
      <c r="B15" s="37" t="s">
        <v>839</v>
      </c>
      <c r="C15" s="37" t="s">
        <v>847</v>
      </c>
      <c r="D15" s="37" t="s">
        <v>849</v>
      </c>
      <c r="E15" s="38" t="s">
        <v>799</v>
      </c>
      <c r="F15" s="38" t="s">
        <v>822</v>
      </c>
      <c r="G15" s="37" t="s">
        <v>109</v>
      </c>
    </row>
    <row r="16">
      <c r="A16" s="40" t="s">
        <v>851</v>
      </c>
      <c r="B16" s="41" t="s">
        <v>839</v>
      </c>
      <c r="C16" s="41" t="s">
        <v>852</v>
      </c>
      <c r="D16" s="41" t="s">
        <v>853</v>
      </c>
      <c r="E16" s="38" t="s">
        <v>799</v>
      </c>
      <c r="F16" s="39" t="s">
        <v>800</v>
      </c>
      <c r="G16" s="41" t="s">
        <v>817</v>
      </c>
    </row>
    <row r="17">
      <c r="A17" s="36" t="s">
        <v>856</v>
      </c>
      <c r="B17" s="37" t="s">
        <v>839</v>
      </c>
      <c r="C17" s="37" t="s">
        <v>858</v>
      </c>
      <c r="D17" s="37" t="s">
        <v>859</v>
      </c>
      <c r="E17" s="38" t="s">
        <v>799</v>
      </c>
      <c r="F17" s="42" t="s">
        <v>807</v>
      </c>
      <c r="G17" s="37" t="s">
        <v>109</v>
      </c>
    </row>
    <row r="18">
      <c r="A18" s="40" t="s">
        <v>861</v>
      </c>
      <c r="B18" s="41" t="s">
        <v>839</v>
      </c>
      <c r="C18" s="41" t="s">
        <v>863</v>
      </c>
      <c r="D18" s="41" t="s">
        <v>864</v>
      </c>
      <c r="E18" s="38" t="s">
        <v>799</v>
      </c>
      <c r="F18" s="39" t="s">
        <v>800</v>
      </c>
      <c r="G18" s="41" t="s">
        <v>817</v>
      </c>
    </row>
    <row r="19">
      <c r="A19" s="36" t="s">
        <v>867</v>
      </c>
      <c r="B19" s="37" t="s">
        <v>868</v>
      </c>
      <c r="C19" s="37" t="s">
        <v>869</v>
      </c>
      <c r="D19" s="37" t="s">
        <v>853</v>
      </c>
      <c r="E19" s="38" t="s">
        <v>799</v>
      </c>
      <c r="F19" s="39" t="s">
        <v>800</v>
      </c>
      <c r="G19" s="37" t="s">
        <v>801</v>
      </c>
    </row>
    <row r="20">
      <c r="A20" s="40" t="s">
        <v>873</v>
      </c>
      <c r="B20" s="41" t="s">
        <v>868</v>
      </c>
      <c r="C20" s="41" t="s">
        <v>875</v>
      </c>
      <c r="D20" s="41" t="s">
        <v>853</v>
      </c>
      <c r="E20" s="38" t="s">
        <v>799</v>
      </c>
      <c r="F20" s="39" t="s">
        <v>800</v>
      </c>
      <c r="G20" s="41" t="s">
        <v>801</v>
      </c>
    </row>
    <row r="21" ht="15.75" customHeight="1">
      <c r="A21" s="36" t="s">
        <v>877</v>
      </c>
      <c r="B21" s="37" t="s">
        <v>868</v>
      </c>
      <c r="C21" s="37" t="s">
        <v>878</v>
      </c>
      <c r="D21" s="37" t="s">
        <v>853</v>
      </c>
      <c r="E21" s="38" t="s">
        <v>799</v>
      </c>
      <c r="F21" s="38" t="s">
        <v>822</v>
      </c>
      <c r="G21" s="37" t="s">
        <v>801</v>
      </c>
    </row>
    <row r="22" ht="15.75" customHeight="1">
      <c r="A22" s="40" t="s">
        <v>880</v>
      </c>
      <c r="B22" s="41" t="s">
        <v>868</v>
      </c>
      <c r="C22" s="41" t="s">
        <v>882</v>
      </c>
      <c r="D22" s="41" t="s">
        <v>853</v>
      </c>
      <c r="E22" s="38" t="s">
        <v>799</v>
      </c>
      <c r="F22" s="42" t="s">
        <v>807</v>
      </c>
      <c r="G22" s="41" t="s">
        <v>801</v>
      </c>
    </row>
    <row r="23" ht="15.75" customHeight="1">
      <c r="A23" s="36" t="s">
        <v>883</v>
      </c>
      <c r="B23" s="37" t="s">
        <v>868</v>
      </c>
      <c r="C23" s="37" t="s">
        <v>884</v>
      </c>
      <c r="D23" s="37" t="s">
        <v>853</v>
      </c>
      <c r="E23" s="38" t="s">
        <v>799</v>
      </c>
      <c r="F23" s="42" t="s">
        <v>807</v>
      </c>
      <c r="G23" s="37" t="s">
        <v>801</v>
      </c>
    </row>
    <row r="24" ht="15.75" customHeight="1">
      <c r="A24" s="40" t="s">
        <v>886</v>
      </c>
      <c r="B24" s="41" t="s">
        <v>868</v>
      </c>
      <c r="C24" s="41" t="s">
        <v>888</v>
      </c>
      <c r="D24" s="41" t="s">
        <v>853</v>
      </c>
      <c r="E24" s="38" t="s">
        <v>799</v>
      </c>
      <c r="F24" s="39" t="s">
        <v>800</v>
      </c>
      <c r="G24" s="41" t="s">
        <v>801</v>
      </c>
    </row>
    <row r="25" ht="15.75" customHeight="1">
      <c r="A25" s="36" t="s">
        <v>890</v>
      </c>
      <c r="B25" s="37" t="s">
        <v>868</v>
      </c>
      <c r="C25" s="37" t="s">
        <v>891</v>
      </c>
      <c r="D25" s="37" t="s">
        <v>853</v>
      </c>
      <c r="E25" s="38" t="s">
        <v>799</v>
      </c>
      <c r="F25" s="42" t="s">
        <v>807</v>
      </c>
      <c r="G25" s="37" t="s">
        <v>801</v>
      </c>
    </row>
    <row r="26" ht="15.75" customHeight="1">
      <c r="A26" s="40" t="s">
        <v>893</v>
      </c>
      <c r="B26" s="41" t="s">
        <v>868</v>
      </c>
      <c r="C26" s="41" t="s">
        <v>894</v>
      </c>
      <c r="D26" s="41" t="s">
        <v>853</v>
      </c>
      <c r="E26" s="42" t="s">
        <v>837</v>
      </c>
      <c r="F26" s="38" t="s">
        <v>822</v>
      </c>
      <c r="G26" s="41" t="s">
        <v>801</v>
      </c>
    </row>
    <row r="27" ht="15.75" customHeight="1">
      <c r="A27" s="36" t="s">
        <v>896</v>
      </c>
      <c r="B27" s="37" t="s">
        <v>868</v>
      </c>
      <c r="C27" s="37" t="s">
        <v>898</v>
      </c>
      <c r="D27" s="37" t="s">
        <v>853</v>
      </c>
      <c r="E27" s="38" t="s">
        <v>799</v>
      </c>
      <c r="F27" s="42" t="s">
        <v>807</v>
      </c>
      <c r="G27" s="37" t="s">
        <v>801</v>
      </c>
    </row>
    <row r="28" ht="15.75" customHeight="1">
      <c r="A28" s="40" t="s">
        <v>900</v>
      </c>
      <c r="B28" s="41" t="s">
        <v>868</v>
      </c>
      <c r="C28" s="41" t="s">
        <v>901</v>
      </c>
      <c r="D28" s="41" t="s">
        <v>853</v>
      </c>
      <c r="E28" s="42" t="s">
        <v>837</v>
      </c>
      <c r="F28" s="42" t="s">
        <v>807</v>
      </c>
      <c r="G28" s="41" t="s">
        <v>817</v>
      </c>
    </row>
    <row r="29" ht="15.75" customHeight="1">
      <c r="A29" s="36" t="s">
        <v>903</v>
      </c>
      <c r="B29" s="37" t="s">
        <v>868</v>
      </c>
      <c r="C29" s="37" t="s">
        <v>904</v>
      </c>
      <c r="D29" s="37" t="s">
        <v>853</v>
      </c>
      <c r="E29" s="38" t="s">
        <v>799</v>
      </c>
      <c r="F29" s="38" t="s">
        <v>822</v>
      </c>
      <c r="G29" s="37" t="s">
        <v>817</v>
      </c>
    </row>
    <row r="30" ht="15.75" customHeight="1">
      <c r="A30" s="40" t="s">
        <v>907</v>
      </c>
      <c r="B30" s="41" t="s">
        <v>908</v>
      </c>
      <c r="C30" s="41" t="s">
        <v>909</v>
      </c>
      <c r="D30" s="41" t="s">
        <v>910</v>
      </c>
      <c r="E30" s="38" t="s">
        <v>799</v>
      </c>
      <c r="F30" s="39" t="s">
        <v>800</v>
      </c>
      <c r="G30" s="41" t="s">
        <v>908</v>
      </c>
    </row>
    <row r="31" ht="15.75" customHeight="1">
      <c r="A31" s="36" t="s">
        <v>912</v>
      </c>
      <c r="B31" s="37" t="s">
        <v>908</v>
      </c>
      <c r="C31" s="37" t="s">
        <v>914</v>
      </c>
      <c r="D31" s="37" t="s">
        <v>915</v>
      </c>
      <c r="E31" s="42" t="s">
        <v>837</v>
      </c>
      <c r="F31" s="42" t="s">
        <v>807</v>
      </c>
      <c r="G31" s="37" t="s">
        <v>908</v>
      </c>
    </row>
    <row r="32" ht="15.75" customHeight="1">
      <c r="A32" s="40" t="s">
        <v>916</v>
      </c>
      <c r="B32" s="41" t="s">
        <v>908</v>
      </c>
      <c r="C32" s="41" t="s">
        <v>917</v>
      </c>
      <c r="D32" s="41" t="s">
        <v>918</v>
      </c>
      <c r="E32" s="42" t="s">
        <v>837</v>
      </c>
      <c r="F32" s="42" t="s">
        <v>807</v>
      </c>
      <c r="G32" s="41" t="s">
        <v>908</v>
      </c>
    </row>
    <row r="33" ht="15.75" customHeight="1">
      <c r="A33" s="36" t="s">
        <v>919</v>
      </c>
      <c r="B33" s="37" t="s">
        <v>908</v>
      </c>
      <c r="C33" s="37" t="s">
        <v>920</v>
      </c>
      <c r="D33" s="37" t="s">
        <v>921</v>
      </c>
      <c r="E33" s="42" t="s">
        <v>837</v>
      </c>
      <c r="F33" s="42" t="s">
        <v>807</v>
      </c>
      <c r="G33" s="37" t="s">
        <v>109</v>
      </c>
    </row>
    <row r="34" ht="15.75" customHeight="1">
      <c r="A34" s="40" t="s">
        <v>922</v>
      </c>
      <c r="B34" s="41" t="s">
        <v>908</v>
      </c>
      <c r="C34" s="41" t="s">
        <v>923</v>
      </c>
      <c r="D34" s="41" t="s">
        <v>918</v>
      </c>
      <c r="E34" s="42" t="s">
        <v>837</v>
      </c>
      <c r="F34" s="38" t="s">
        <v>822</v>
      </c>
      <c r="G34" s="41" t="s">
        <v>908</v>
      </c>
    </row>
    <row r="35" ht="15.75" customHeight="1">
      <c r="A35" s="36" t="s">
        <v>924</v>
      </c>
      <c r="B35" s="37" t="s">
        <v>925</v>
      </c>
      <c r="C35" s="37" t="s">
        <v>926</v>
      </c>
      <c r="D35" s="37" t="s">
        <v>853</v>
      </c>
      <c r="E35" s="38" t="s">
        <v>799</v>
      </c>
      <c r="F35" s="39" t="s">
        <v>800</v>
      </c>
      <c r="G35" s="37" t="s">
        <v>817</v>
      </c>
    </row>
    <row r="36" ht="15.75" customHeight="1">
      <c r="A36" s="40" t="s">
        <v>927</v>
      </c>
      <c r="B36" s="41" t="s">
        <v>925</v>
      </c>
      <c r="C36" s="41" t="s">
        <v>928</v>
      </c>
      <c r="D36" s="41" t="s">
        <v>853</v>
      </c>
      <c r="E36" s="38" t="s">
        <v>799</v>
      </c>
      <c r="F36" s="39" t="s">
        <v>800</v>
      </c>
      <c r="G36" s="41" t="s">
        <v>817</v>
      </c>
    </row>
    <row r="37" ht="15.75" customHeight="1">
      <c r="A37" s="36" t="s">
        <v>929</v>
      </c>
      <c r="B37" s="37" t="s">
        <v>925</v>
      </c>
      <c r="C37" s="37" t="s">
        <v>930</v>
      </c>
      <c r="D37" s="37" t="s">
        <v>853</v>
      </c>
      <c r="E37" s="38" t="s">
        <v>799</v>
      </c>
      <c r="F37" s="39" t="s">
        <v>800</v>
      </c>
      <c r="G37" s="37" t="s">
        <v>801</v>
      </c>
    </row>
    <row r="38" ht="15.75" customHeight="1">
      <c r="A38" s="40" t="s">
        <v>931</v>
      </c>
      <c r="B38" s="41" t="s">
        <v>925</v>
      </c>
      <c r="C38" s="41" t="s">
        <v>932</v>
      </c>
      <c r="D38" s="41" t="s">
        <v>933</v>
      </c>
      <c r="E38" s="38" t="s">
        <v>799</v>
      </c>
      <c r="F38" s="42" t="s">
        <v>807</v>
      </c>
      <c r="G38" s="41" t="s">
        <v>817</v>
      </c>
    </row>
    <row r="39" ht="15.75" customHeight="1">
      <c r="A39" s="36" t="s">
        <v>934</v>
      </c>
      <c r="B39" s="37" t="s">
        <v>925</v>
      </c>
      <c r="C39" s="37" t="s">
        <v>935</v>
      </c>
      <c r="D39" s="37" t="s">
        <v>853</v>
      </c>
      <c r="E39" s="38" t="s">
        <v>799</v>
      </c>
      <c r="F39" s="42" t="s">
        <v>807</v>
      </c>
      <c r="G39" s="37" t="s">
        <v>817</v>
      </c>
    </row>
    <row r="40" ht="15.75" customHeight="1">
      <c r="A40" s="40" t="s">
        <v>936</v>
      </c>
      <c r="B40" s="41" t="s">
        <v>925</v>
      </c>
      <c r="C40" s="41" t="s">
        <v>937</v>
      </c>
      <c r="D40" s="41" t="s">
        <v>853</v>
      </c>
      <c r="E40" s="38" t="s">
        <v>799</v>
      </c>
      <c r="F40" s="42" t="s">
        <v>807</v>
      </c>
      <c r="G40" s="41" t="s">
        <v>817</v>
      </c>
    </row>
    <row r="41" ht="15.75" customHeight="1">
      <c r="A41" s="36" t="s">
        <v>938</v>
      </c>
      <c r="B41" s="37" t="s">
        <v>925</v>
      </c>
      <c r="C41" s="37" t="s">
        <v>939</v>
      </c>
      <c r="D41" s="37" t="s">
        <v>940</v>
      </c>
      <c r="E41" s="38" t="s">
        <v>799</v>
      </c>
      <c r="F41" s="42" t="s">
        <v>807</v>
      </c>
      <c r="G41" s="37" t="s">
        <v>817</v>
      </c>
    </row>
    <row r="42" ht="15.75" customHeight="1">
      <c r="A42" s="40" t="s">
        <v>941</v>
      </c>
      <c r="B42" s="41" t="s">
        <v>925</v>
      </c>
      <c r="C42" s="41" t="s">
        <v>942</v>
      </c>
      <c r="D42" s="41" t="s">
        <v>943</v>
      </c>
      <c r="E42" s="42" t="s">
        <v>837</v>
      </c>
      <c r="F42" s="42" t="s">
        <v>807</v>
      </c>
      <c r="G42" s="41" t="s">
        <v>944</v>
      </c>
    </row>
    <row r="43" ht="15.75" customHeight="1">
      <c r="A43" s="36" t="s">
        <v>945</v>
      </c>
      <c r="B43" s="37" t="s">
        <v>946</v>
      </c>
      <c r="C43" s="37" t="s">
        <v>947</v>
      </c>
      <c r="D43" s="37" t="s">
        <v>948</v>
      </c>
      <c r="E43" s="38" t="s">
        <v>799</v>
      </c>
      <c r="F43" s="39" t="s">
        <v>800</v>
      </c>
      <c r="G43" s="37" t="s">
        <v>817</v>
      </c>
    </row>
    <row r="44" ht="15.75" customHeight="1">
      <c r="A44" s="40" t="s">
        <v>949</v>
      </c>
      <c r="B44" s="41" t="s">
        <v>946</v>
      </c>
      <c r="C44" s="41" t="s">
        <v>950</v>
      </c>
      <c r="D44" s="41" t="s">
        <v>853</v>
      </c>
      <c r="E44" s="38" t="s">
        <v>799</v>
      </c>
      <c r="F44" s="42" t="s">
        <v>807</v>
      </c>
      <c r="G44" s="41" t="s">
        <v>817</v>
      </c>
    </row>
    <row r="45" ht="15.75" customHeight="1">
      <c r="A45" s="36" t="s">
        <v>951</v>
      </c>
      <c r="B45" s="37" t="s">
        <v>946</v>
      </c>
      <c r="C45" s="37" t="s">
        <v>952</v>
      </c>
      <c r="D45" s="37" t="s">
        <v>953</v>
      </c>
      <c r="E45" s="42" t="s">
        <v>837</v>
      </c>
      <c r="F45" s="38" t="s">
        <v>822</v>
      </c>
      <c r="G45" s="37" t="s">
        <v>817</v>
      </c>
    </row>
    <row r="46" ht="15.75" customHeight="1">
      <c r="A46" s="40" t="s">
        <v>954</v>
      </c>
      <c r="B46" s="41" t="s">
        <v>955</v>
      </c>
      <c r="C46" s="41" t="s">
        <v>956</v>
      </c>
      <c r="D46" s="41" t="s">
        <v>957</v>
      </c>
      <c r="E46" s="38" t="s">
        <v>799</v>
      </c>
      <c r="F46" s="39" t="s">
        <v>800</v>
      </c>
      <c r="G46" s="41" t="s">
        <v>817</v>
      </c>
    </row>
    <row r="47" ht="15.75" customHeight="1">
      <c r="A47" s="36" t="s">
        <v>958</v>
      </c>
      <c r="B47" s="37" t="s">
        <v>955</v>
      </c>
      <c r="C47" s="37" t="s">
        <v>959</v>
      </c>
      <c r="D47" s="37" t="s">
        <v>957</v>
      </c>
      <c r="E47" s="38" t="s">
        <v>799</v>
      </c>
      <c r="F47" s="39" t="s">
        <v>800</v>
      </c>
      <c r="G47" s="37" t="s">
        <v>817</v>
      </c>
    </row>
    <row r="48" ht="15.75" customHeight="1">
      <c r="A48" s="40" t="s">
        <v>960</v>
      </c>
      <c r="B48" s="41" t="s">
        <v>955</v>
      </c>
      <c r="C48" s="41" t="s">
        <v>961</v>
      </c>
      <c r="D48" s="41" t="s">
        <v>962</v>
      </c>
      <c r="E48" s="38" t="s">
        <v>799</v>
      </c>
      <c r="F48" s="38" t="s">
        <v>822</v>
      </c>
      <c r="G48" s="41" t="s">
        <v>817</v>
      </c>
    </row>
    <row r="49" ht="15.75" customHeight="1">
      <c r="A49" s="36" t="s">
        <v>963</v>
      </c>
      <c r="B49" s="37" t="s">
        <v>955</v>
      </c>
      <c r="C49" s="37" t="s">
        <v>964</v>
      </c>
      <c r="D49" s="37" t="s">
        <v>962</v>
      </c>
      <c r="E49" s="38" t="s">
        <v>799</v>
      </c>
      <c r="F49" s="38" t="s">
        <v>822</v>
      </c>
      <c r="G49" s="37" t="s">
        <v>817</v>
      </c>
    </row>
    <row r="50" ht="15.75" customHeight="1">
      <c r="A50" s="40" t="s">
        <v>965</v>
      </c>
      <c r="B50" s="41" t="s">
        <v>955</v>
      </c>
      <c r="C50" s="41" t="s">
        <v>966</v>
      </c>
      <c r="D50" s="41" t="s">
        <v>967</v>
      </c>
      <c r="E50" s="38" t="s">
        <v>799</v>
      </c>
      <c r="F50" s="42" t="s">
        <v>807</v>
      </c>
      <c r="G50" s="41" t="s">
        <v>817</v>
      </c>
    </row>
    <row r="51" ht="15.75" customHeight="1">
      <c r="A51" s="36" t="s">
        <v>968</v>
      </c>
      <c r="B51" s="37" t="s">
        <v>969</v>
      </c>
      <c r="C51" s="37" t="s">
        <v>970</v>
      </c>
      <c r="D51" s="37" t="s">
        <v>962</v>
      </c>
      <c r="E51" s="38" t="s">
        <v>799</v>
      </c>
      <c r="F51" s="39" t="s">
        <v>800</v>
      </c>
      <c r="G51" s="37" t="s">
        <v>817</v>
      </c>
    </row>
    <row r="52" ht="15.75" customHeight="1">
      <c r="A52" s="40" t="s">
        <v>971</v>
      </c>
      <c r="B52" s="41" t="s">
        <v>969</v>
      </c>
      <c r="C52" s="41" t="s">
        <v>972</v>
      </c>
      <c r="D52" s="41" t="s">
        <v>967</v>
      </c>
      <c r="E52" s="42" t="s">
        <v>837</v>
      </c>
      <c r="F52" s="38" t="s">
        <v>822</v>
      </c>
      <c r="G52" s="41" t="s">
        <v>944</v>
      </c>
    </row>
    <row r="53" ht="15.75" customHeight="1">
      <c r="A53" s="36" t="s">
        <v>973</v>
      </c>
      <c r="B53" s="37" t="s">
        <v>969</v>
      </c>
      <c r="C53" s="37" t="s">
        <v>974</v>
      </c>
      <c r="D53" s="37" t="s">
        <v>975</v>
      </c>
      <c r="E53" s="42" t="s">
        <v>837</v>
      </c>
      <c r="F53" s="42" t="s">
        <v>807</v>
      </c>
      <c r="G53" s="37" t="s">
        <v>817</v>
      </c>
    </row>
    <row r="54" ht="15.75" customHeight="1">
      <c r="A54" s="40" t="s">
        <v>977</v>
      </c>
      <c r="B54" s="41" t="s">
        <v>978</v>
      </c>
      <c r="C54" s="41" t="s">
        <v>979</v>
      </c>
      <c r="D54" s="41" t="s">
        <v>980</v>
      </c>
      <c r="E54" s="38" t="s">
        <v>799</v>
      </c>
      <c r="F54" s="42" t="s">
        <v>807</v>
      </c>
      <c r="G54" s="41" t="s">
        <v>801</v>
      </c>
    </row>
    <row r="55" ht="15.75" customHeight="1">
      <c r="A55" s="36" t="s">
        <v>981</v>
      </c>
      <c r="B55" s="37" t="s">
        <v>978</v>
      </c>
      <c r="C55" s="37" t="s">
        <v>982</v>
      </c>
      <c r="D55" s="37" t="s">
        <v>980</v>
      </c>
      <c r="E55" s="38" t="s">
        <v>799</v>
      </c>
      <c r="F55" s="42" t="s">
        <v>807</v>
      </c>
      <c r="G55" s="37" t="s">
        <v>801</v>
      </c>
    </row>
    <row r="56" ht="15.75" customHeight="1">
      <c r="A56" s="40" t="s">
        <v>983</v>
      </c>
      <c r="B56" s="41" t="s">
        <v>985</v>
      </c>
      <c r="C56" s="41" t="s">
        <v>987</v>
      </c>
      <c r="D56" s="41" t="s">
        <v>853</v>
      </c>
      <c r="E56" s="38" t="s">
        <v>799</v>
      </c>
      <c r="F56" s="42" t="s">
        <v>807</v>
      </c>
      <c r="G56" s="41" t="s">
        <v>801</v>
      </c>
    </row>
    <row r="57" ht="15.75" customHeight="1">
      <c r="A57" s="36" t="s">
        <v>988</v>
      </c>
      <c r="B57" s="37" t="s">
        <v>985</v>
      </c>
      <c r="C57" s="37" t="s">
        <v>989</v>
      </c>
      <c r="D57" s="37" t="s">
        <v>836</v>
      </c>
      <c r="E57" s="42" t="s">
        <v>837</v>
      </c>
      <c r="F57" s="38" t="s">
        <v>822</v>
      </c>
      <c r="G57" s="37" t="s">
        <v>109</v>
      </c>
    </row>
    <row r="58" ht="15.75" customHeight="1">
      <c r="A58" s="40" t="s">
        <v>991</v>
      </c>
      <c r="B58" s="41" t="s">
        <v>992</v>
      </c>
      <c r="C58" s="41" t="s">
        <v>993</v>
      </c>
      <c r="D58" s="41" t="s">
        <v>994</v>
      </c>
      <c r="E58" s="38" t="s">
        <v>799</v>
      </c>
      <c r="F58" s="42" t="s">
        <v>807</v>
      </c>
      <c r="G58" s="41" t="s">
        <v>109</v>
      </c>
    </row>
    <row r="59" ht="15.75" customHeight="1">
      <c r="A59" s="36" t="s">
        <v>995</v>
      </c>
      <c r="B59" s="37" t="s">
        <v>992</v>
      </c>
      <c r="C59" s="37" t="s">
        <v>996</v>
      </c>
      <c r="D59" s="37" t="s">
        <v>997</v>
      </c>
      <c r="E59" s="38" t="s">
        <v>799</v>
      </c>
      <c r="F59" s="39" t="s">
        <v>800</v>
      </c>
      <c r="G59" s="37" t="s">
        <v>109</v>
      </c>
    </row>
    <row r="60" ht="15.75" customHeight="1">
      <c r="A60" s="40" t="s">
        <v>998</v>
      </c>
      <c r="B60" s="41" t="s">
        <v>992</v>
      </c>
      <c r="C60" s="41" t="s">
        <v>999</v>
      </c>
      <c r="D60" s="41" t="s">
        <v>1000</v>
      </c>
      <c r="E60" s="38" t="s">
        <v>799</v>
      </c>
      <c r="F60" s="42" t="s">
        <v>807</v>
      </c>
      <c r="G60" s="41" t="s">
        <v>109</v>
      </c>
    </row>
    <row r="61" ht="15.75" customHeight="1">
      <c r="A61" s="36" t="s">
        <v>1001</v>
      </c>
      <c r="B61" s="37" t="s">
        <v>992</v>
      </c>
      <c r="C61" s="37" t="s">
        <v>1002</v>
      </c>
      <c r="D61" s="37" t="s">
        <v>536</v>
      </c>
      <c r="E61" s="42" t="s">
        <v>837</v>
      </c>
      <c r="F61" s="42" t="s">
        <v>807</v>
      </c>
      <c r="G61" s="37" t="s">
        <v>109</v>
      </c>
    </row>
    <row r="62" ht="15.75" customHeight="1">
      <c r="A62" s="40" t="s">
        <v>1003</v>
      </c>
      <c r="B62" s="41" t="s">
        <v>1004</v>
      </c>
      <c r="C62" s="41" t="s">
        <v>1005</v>
      </c>
      <c r="D62" s="41" t="s">
        <v>1006</v>
      </c>
      <c r="E62" s="38" t="s">
        <v>799</v>
      </c>
      <c r="F62" s="39" t="s">
        <v>800</v>
      </c>
      <c r="G62" s="41" t="s">
        <v>817</v>
      </c>
    </row>
    <row r="63" ht="15.75" customHeight="1">
      <c r="A63" s="36" t="s">
        <v>1008</v>
      </c>
      <c r="B63" s="37" t="s">
        <v>1004</v>
      </c>
      <c r="C63" s="37" t="s">
        <v>1009</v>
      </c>
      <c r="D63" s="37" t="s">
        <v>836</v>
      </c>
      <c r="E63" s="38" t="s">
        <v>799</v>
      </c>
      <c r="F63" s="39" t="s">
        <v>800</v>
      </c>
      <c r="G63" s="37" t="s">
        <v>817</v>
      </c>
    </row>
    <row r="64" ht="15.75" customHeight="1">
      <c r="A64" s="40" t="s">
        <v>1010</v>
      </c>
      <c r="B64" s="41" t="s">
        <v>1004</v>
      </c>
      <c r="C64" s="41" t="s">
        <v>1011</v>
      </c>
      <c r="D64" s="41" t="s">
        <v>853</v>
      </c>
      <c r="E64" s="38" t="s">
        <v>799</v>
      </c>
      <c r="F64" s="38" t="s">
        <v>822</v>
      </c>
      <c r="G64" s="41" t="s">
        <v>109</v>
      </c>
    </row>
    <row r="65" ht="15.75" customHeight="1">
      <c r="A65" s="36" t="s">
        <v>1012</v>
      </c>
      <c r="B65" s="37" t="s">
        <v>1004</v>
      </c>
      <c r="C65" s="37" t="s">
        <v>1013</v>
      </c>
      <c r="D65" s="37" t="s">
        <v>853</v>
      </c>
      <c r="E65" s="38" t="s">
        <v>799</v>
      </c>
      <c r="F65" s="38" t="s">
        <v>822</v>
      </c>
      <c r="G65" s="37" t="s">
        <v>109</v>
      </c>
    </row>
    <row r="66" ht="15.75" customHeight="1">
      <c r="A66" s="40" t="s">
        <v>1014</v>
      </c>
      <c r="B66" s="41" t="s">
        <v>564</v>
      </c>
      <c r="C66" s="41" t="s">
        <v>1015</v>
      </c>
      <c r="D66" s="41" t="s">
        <v>1016</v>
      </c>
      <c r="E66" s="38" t="s">
        <v>799</v>
      </c>
      <c r="F66" s="39" t="s">
        <v>800</v>
      </c>
      <c r="G66" s="41" t="s">
        <v>109</v>
      </c>
    </row>
    <row r="67" ht="15.75" customHeight="1"/>
    <row r="68" ht="27.75" customHeight="1">
      <c r="A68" s="47" t="s">
        <v>1018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66"/>
  <mergeCells count="3">
    <mergeCell ref="A1:G1"/>
    <mergeCell ref="A2:G2"/>
    <mergeCell ref="A68:G68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0.0"/>
    <col customWidth="1" min="2" max="3" width="22.0"/>
    <col customWidth="1" min="4" max="4" width="16.0"/>
    <col customWidth="1" min="5" max="26" width="8.71"/>
  </cols>
  <sheetData>
    <row r="1" ht="27.75" customHeight="1">
      <c r="A1" s="1" t="s">
        <v>803</v>
      </c>
    </row>
    <row r="2" ht="15.75" customHeight="1">
      <c r="A2" s="3" t="s">
        <v>808</v>
      </c>
    </row>
    <row r="4" ht="25.5" customHeight="1">
      <c r="A4" s="5" t="s">
        <v>24</v>
      </c>
      <c r="B4" s="5" t="s">
        <v>811</v>
      </c>
      <c r="C4" s="5" t="s">
        <v>813</v>
      </c>
      <c r="D4" s="5" t="s">
        <v>816</v>
      </c>
    </row>
    <row r="5">
      <c r="A5" s="7" t="s">
        <v>819</v>
      </c>
      <c r="B5" s="10" t="s">
        <v>823</v>
      </c>
      <c r="C5" s="10" t="s">
        <v>823</v>
      </c>
      <c r="D5" s="10" t="s">
        <v>823</v>
      </c>
    </row>
    <row r="6">
      <c r="A6" s="16" t="s">
        <v>60</v>
      </c>
      <c r="B6" s="14" t="s">
        <v>829</v>
      </c>
      <c r="C6" s="14" t="s">
        <v>829</v>
      </c>
      <c r="D6" s="14" t="s">
        <v>829</v>
      </c>
    </row>
    <row r="7">
      <c r="A7" s="7" t="s">
        <v>832</v>
      </c>
      <c r="B7" s="14" t="s">
        <v>829</v>
      </c>
      <c r="C7" s="14" t="s">
        <v>829</v>
      </c>
      <c r="D7" s="14" t="s">
        <v>829</v>
      </c>
    </row>
    <row r="8">
      <c r="A8" s="16" t="s">
        <v>834</v>
      </c>
      <c r="B8" s="17" t="s">
        <v>823</v>
      </c>
      <c r="C8" s="17" t="s">
        <v>823</v>
      </c>
      <c r="D8" s="17" t="s">
        <v>823</v>
      </c>
    </row>
    <row r="9">
      <c r="A9" s="7" t="s">
        <v>841</v>
      </c>
      <c r="B9" s="14" t="s">
        <v>829</v>
      </c>
      <c r="C9" s="14" t="s">
        <v>829</v>
      </c>
      <c r="D9" s="14" t="s">
        <v>829</v>
      </c>
    </row>
    <row r="10">
      <c r="A10" s="16" t="s">
        <v>843</v>
      </c>
      <c r="B10" s="17" t="s">
        <v>845</v>
      </c>
      <c r="C10" s="17" t="s">
        <v>846</v>
      </c>
      <c r="D10" s="17" t="s">
        <v>848</v>
      </c>
    </row>
    <row r="11">
      <c r="A11" s="7" t="s">
        <v>850</v>
      </c>
      <c r="B11" s="14" t="s">
        <v>829</v>
      </c>
      <c r="C11" s="14" t="s">
        <v>829</v>
      </c>
      <c r="D11" s="14" t="s">
        <v>829</v>
      </c>
    </row>
    <row r="12">
      <c r="A12" s="16" t="s">
        <v>854</v>
      </c>
      <c r="B12" s="17" t="s">
        <v>855</v>
      </c>
      <c r="C12" s="17" t="s">
        <v>857</v>
      </c>
      <c r="D12" s="17" t="s">
        <v>848</v>
      </c>
    </row>
    <row r="13">
      <c r="A13" s="7" t="s">
        <v>860</v>
      </c>
      <c r="B13" s="10" t="s">
        <v>862</v>
      </c>
      <c r="C13" s="10" t="s">
        <v>855</v>
      </c>
      <c r="D13" s="10" t="s">
        <v>848</v>
      </c>
    </row>
    <row r="14">
      <c r="A14" s="16" t="s">
        <v>865</v>
      </c>
      <c r="B14" s="17" t="s">
        <v>855</v>
      </c>
      <c r="C14" s="17" t="s">
        <v>866</v>
      </c>
      <c r="D14" s="17" t="s">
        <v>848</v>
      </c>
    </row>
    <row r="15">
      <c r="A15" s="7" t="s">
        <v>870</v>
      </c>
      <c r="B15" s="10" t="s">
        <v>871</v>
      </c>
      <c r="C15" s="10" t="s">
        <v>872</v>
      </c>
      <c r="D15" s="10" t="s">
        <v>848</v>
      </c>
    </row>
    <row r="16">
      <c r="A16" s="16" t="s">
        <v>874</v>
      </c>
      <c r="B16" s="14" t="s">
        <v>829</v>
      </c>
      <c r="C16" s="14" t="s">
        <v>829</v>
      </c>
      <c r="D16" s="14" t="s">
        <v>829</v>
      </c>
    </row>
    <row r="17">
      <c r="A17" s="7" t="s">
        <v>876</v>
      </c>
      <c r="B17" s="24" t="s">
        <v>879</v>
      </c>
      <c r="C17" s="24" t="s">
        <v>879</v>
      </c>
      <c r="D17" s="24" t="s">
        <v>879</v>
      </c>
    </row>
    <row r="18">
      <c r="A18" s="16" t="s">
        <v>881</v>
      </c>
      <c r="B18" s="28" t="s">
        <v>624</v>
      </c>
      <c r="C18" s="28" t="s">
        <v>624</v>
      </c>
      <c r="D18" s="14" t="s">
        <v>829</v>
      </c>
    </row>
    <row r="19">
      <c r="A19" s="7" t="s">
        <v>885</v>
      </c>
      <c r="B19" s="10" t="s">
        <v>823</v>
      </c>
      <c r="C19" s="10" t="s">
        <v>823</v>
      </c>
      <c r="D19" s="10" t="s">
        <v>823</v>
      </c>
    </row>
    <row r="20">
      <c r="A20" s="16" t="s">
        <v>887</v>
      </c>
      <c r="B20" s="14" t="s">
        <v>829</v>
      </c>
      <c r="C20" s="14" t="s">
        <v>829</v>
      </c>
      <c r="D20" s="14" t="s">
        <v>829</v>
      </c>
    </row>
    <row r="21" ht="15.75" customHeight="1">
      <c r="A21" s="7" t="s">
        <v>889</v>
      </c>
      <c r="B21" s="14" t="s">
        <v>829</v>
      </c>
      <c r="C21" s="14" t="s">
        <v>829</v>
      </c>
      <c r="D21" s="14" t="s">
        <v>829</v>
      </c>
    </row>
    <row r="22" ht="15.75" customHeight="1">
      <c r="A22" s="16" t="s">
        <v>892</v>
      </c>
      <c r="B22" s="14" t="s">
        <v>829</v>
      </c>
      <c r="C22" s="14" t="s">
        <v>829</v>
      </c>
      <c r="D22" s="14" t="s">
        <v>829</v>
      </c>
    </row>
    <row r="23" ht="15.75" customHeight="1">
      <c r="A23" s="7" t="s">
        <v>895</v>
      </c>
      <c r="B23" s="28" t="s">
        <v>624</v>
      </c>
      <c r="C23" s="14" t="s">
        <v>829</v>
      </c>
      <c r="D23" s="14" t="s">
        <v>829</v>
      </c>
    </row>
    <row r="24" ht="15.75" customHeight="1">
      <c r="A24" s="16" t="s">
        <v>897</v>
      </c>
      <c r="B24" s="14" t="s">
        <v>829</v>
      </c>
      <c r="C24" s="14" t="s">
        <v>829</v>
      </c>
      <c r="D24" s="14" t="s">
        <v>829</v>
      </c>
    </row>
    <row r="25" ht="15.75" customHeight="1">
      <c r="A25" s="7" t="s">
        <v>899</v>
      </c>
      <c r="B25" s="28" t="s">
        <v>624</v>
      </c>
      <c r="C25" s="14" t="s">
        <v>829</v>
      </c>
      <c r="D25" s="14" t="s">
        <v>829</v>
      </c>
    </row>
    <row r="26" ht="15.75" customHeight="1">
      <c r="A26" s="16" t="s">
        <v>902</v>
      </c>
      <c r="B26" s="28" t="s">
        <v>624</v>
      </c>
      <c r="C26" s="28" t="s">
        <v>624</v>
      </c>
      <c r="D26" s="14" t="s">
        <v>829</v>
      </c>
    </row>
    <row r="27" ht="15.75" customHeight="1">
      <c r="A27" s="7" t="s">
        <v>905</v>
      </c>
      <c r="B27" s="14" t="s">
        <v>829</v>
      </c>
      <c r="C27" s="14" t="s">
        <v>829</v>
      </c>
      <c r="D27" s="14" t="s">
        <v>829</v>
      </c>
    </row>
    <row r="28" ht="15.75" customHeight="1">
      <c r="A28" s="16" t="s">
        <v>906</v>
      </c>
      <c r="B28" s="28" t="s">
        <v>624</v>
      </c>
      <c r="C28" s="28" t="s">
        <v>624</v>
      </c>
      <c r="D28" s="14" t="s">
        <v>829</v>
      </c>
    </row>
    <row r="29" ht="15.75" customHeight="1">
      <c r="A29" s="7" t="s">
        <v>911</v>
      </c>
      <c r="B29" s="28" t="s">
        <v>624</v>
      </c>
      <c r="C29" s="14" t="s">
        <v>829</v>
      </c>
      <c r="D29" s="14" t="s">
        <v>829</v>
      </c>
    </row>
    <row r="30" ht="15.75" customHeight="1">
      <c r="A30" s="16" t="s">
        <v>913</v>
      </c>
      <c r="B30" s="14" t="s">
        <v>829</v>
      </c>
      <c r="C30" s="14" t="s">
        <v>829</v>
      </c>
      <c r="D30" s="14" t="s">
        <v>829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30"/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10.0"/>
    <col customWidth="1" min="3" max="3" width="8.0"/>
    <col customWidth="1" min="4" max="4" width="11.0"/>
    <col customWidth="1" min="5" max="5" width="10.0"/>
    <col customWidth="1" min="6" max="6" width="14.0"/>
    <col customWidth="1" min="7" max="26" width="8.71"/>
  </cols>
  <sheetData>
    <row r="1" ht="27.75" customHeight="1">
      <c r="A1" s="1" t="s">
        <v>976</v>
      </c>
    </row>
    <row r="2" ht="15.75" customHeight="1">
      <c r="A2" s="3" t="s">
        <v>984</v>
      </c>
    </row>
    <row r="4">
      <c r="A4" s="19" t="s">
        <v>986</v>
      </c>
    </row>
    <row r="5">
      <c r="A5" s="44" t="s">
        <v>990</v>
      </c>
      <c r="B5" s="45">
        <v>32.0</v>
      </c>
    </row>
    <row r="6">
      <c r="A6" s="44" t="s">
        <v>1007</v>
      </c>
      <c r="B6" s="46">
        <v>55.0</v>
      </c>
    </row>
    <row r="8" ht="25.5" customHeight="1">
      <c r="A8" s="5" t="s">
        <v>25</v>
      </c>
      <c r="B8" s="5" t="s">
        <v>761</v>
      </c>
      <c r="C8" s="5" t="s">
        <v>1017</v>
      </c>
      <c r="D8" s="5" t="s">
        <v>1019</v>
      </c>
      <c r="E8" s="5" t="s">
        <v>1020</v>
      </c>
      <c r="F8" s="5" t="s">
        <v>1021</v>
      </c>
    </row>
    <row r="9">
      <c r="A9" s="15" t="s">
        <v>762</v>
      </c>
      <c r="B9" s="45">
        <v>5.0</v>
      </c>
      <c r="C9" s="45">
        <v>3.0</v>
      </c>
      <c r="D9" s="48">
        <f t="shared" ref="D9:D16" si="1">B9*C9</f>
        <v>15</v>
      </c>
      <c r="E9" s="48">
        <f t="shared" ref="E9:E16" si="2">D9*$B$5</f>
        <v>480</v>
      </c>
      <c r="F9" s="49">
        <f t="shared" ref="F9:F16" si="3">E9*$B$6</f>
        <v>26400</v>
      </c>
    </row>
    <row r="10">
      <c r="A10" s="11" t="s">
        <v>765</v>
      </c>
      <c r="B10" s="45">
        <v>9.0</v>
      </c>
      <c r="C10" s="45">
        <v>3.0</v>
      </c>
      <c r="D10" s="50">
        <f t="shared" si="1"/>
        <v>27</v>
      </c>
      <c r="E10" s="50">
        <f t="shared" si="2"/>
        <v>864</v>
      </c>
      <c r="F10" s="51">
        <f t="shared" si="3"/>
        <v>47520</v>
      </c>
    </row>
    <row r="11">
      <c r="A11" s="15" t="s">
        <v>770</v>
      </c>
      <c r="B11" s="45">
        <v>9.0</v>
      </c>
      <c r="C11" s="45">
        <v>3.0</v>
      </c>
      <c r="D11" s="48">
        <f t="shared" si="1"/>
        <v>27</v>
      </c>
      <c r="E11" s="48">
        <f t="shared" si="2"/>
        <v>864</v>
      </c>
      <c r="F11" s="49">
        <f t="shared" si="3"/>
        <v>47520</v>
      </c>
    </row>
    <row r="12">
      <c r="A12" s="11" t="s">
        <v>774</v>
      </c>
      <c r="B12" s="45">
        <v>9.0</v>
      </c>
      <c r="C12" s="45">
        <v>3.0</v>
      </c>
      <c r="D12" s="50">
        <f t="shared" si="1"/>
        <v>27</v>
      </c>
      <c r="E12" s="50">
        <f t="shared" si="2"/>
        <v>864</v>
      </c>
      <c r="F12" s="51">
        <f t="shared" si="3"/>
        <v>47520</v>
      </c>
    </row>
    <row r="13">
      <c r="A13" s="15" t="s">
        <v>778</v>
      </c>
      <c r="B13" s="45">
        <v>10.0</v>
      </c>
      <c r="C13" s="45">
        <v>3.0</v>
      </c>
      <c r="D13" s="48">
        <f t="shared" si="1"/>
        <v>30</v>
      </c>
      <c r="E13" s="48">
        <f t="shared" si="2"/>
        <v>960</v>
      </c>
      <c r="F13" s="49">
        <f t="shared" si="3"/>
        <v>52800</v>
      </c>
    </row>
    <row r="14">
      <c r="A14" s="11" t="s">
        <v>788</v>
      </c>
      <c r="B14" s="45">
        <v>7.0</v>
      </c>
      <c r="C14" s="45">
        <v>2.0</v>
      </c>
      <c r="D14" s="50">
        <f t="shared" si="1"/>
        <v>14</v>
      </c>
      <c r="E14" s="50">
        <f t="shared" si="2"/>
        <v>448</v>
      </c>
      <c r="F14" s="51">
        <f t="shared" si="3"/>
        <v>24640</v>
      </c>
    </row>
    <row r="15">
      <c r="A15" s="15" t="s">
        <v>793</v>
      </c>
      <c r="B15" s="45">
        <v>9.0</v>
      </c>
      <c r="C15" s="45">
        <v>3.0</v>
      </c>
      <c r="D15" s="48">
        <f t="shared" si="1"/>
        <v>27</v>
      </c>
      <c r="E15" s="48">
        <f t="shared" si="2"/>
        <v>864</v>
      </c>
      <c r="F15" s="49">
        <f t="shared" si="3"/>
        <v>47520</v>
      </c>
    </row>
    <row r="16">
      <c r="A16" s="11" t="s">
        <v>1022</v>
      </c>
      <c r="B16" s="45">
        <v>24.0</v>
      </c>
      <c r="C16" s="45">
        <v>2.0</v>
      </c>
      <c r="D16" s="50">
        <f t="shared" si="1"/>
        <v>48</v>
      </c>
      <c r="E16" s="50">
        <f t="shared" si="2"/>
        <v>1536</v>
      </c>
      <c r="F16" s="51">
        <f t="shared" si="3"/>
        <v>84480</v>
      </c>
    </row>
    <row r="17">
      <c r="A17" s="52" t="s">
        <v>1023</v>
      </c>
      <c r="B17" s="53"/>
      <c r="C17" s="53"/>
      <c r="D17" s="31">
        <f t="shared" ref="D17:F17" si="4">SUM(D9:D16)</f>
        <v>215</v>
      </c>
      <c r="E17" s="31">
        <f t="shared" si="4"/>
        <v>6880</v>
      </c>
      <c r="F17" s="54">
        <f t="shared" si="4"/>
        <v>378400</v>
      </c>
    </row>
    <row r="19">
      <c r="A19" s="55" t="s">
        <v>1024</v>
      </c>
      <c r="B19" s="56">
        <v>0.15</v>
      </c>
    </row>
    <row r="20">
      <c r="A20" s="57" t="s">
        <v>1025</v>
      </c>
      <c r="F20" s="58">
        <f>F17*(1+B19)</f>
        <v>435160</v>
      </c>
    </row>
    <row r="21" ht="15.75" customHeight="1"/>
    <row r="22" ht="30.0" customHeight="1">
      <c r="A22" s="47" t="s">
        <v>1026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22:F22"/>
  </mergeCells>
  <printOptions/>
  <pageMargins bottom="1.0" footer="0.0" header="0.0" left="0.75" right="0.75" top="1.0"/>
  <pageSetup paperSize="9" orientation="portrait"/>
  <drawing r:id="rId1"/>
</worksheet>
</file>